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3.xml" ContentType="application/vnd.ms-excel.slicer+xml"/>
  <Override PartName="/xl/slicers/slicer4.xml" ContentType="application/vnd.ms-excel.slicer+xml"/>
  <Override PartName="/xl/timelines/timeline1.xml" ContentType="application/vnd.ms-excel.timelin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atil\OneDrive\Documents\ALL_EXCEL-PROJECT\"/>
    </mc:Choice>
  </mc:AlternateContent>
  <xr:revisionPtr revIDLastSave="0" documentId="13_ncr:1_{2FB541F3-C705-46BD-93BC-50C56D50DE8B}" xr6:coauthVersionLast="47" xr6:coauthVersionMax="47" xr10:uidLastSave="{00000000-0000-0000-0000-000000000000}"/>
  <bookViews>
    <workbookView xWindow="-105" yWindow="0" windowWidth="21480" windowHeight="15585" tabRatio="972" xr2:uid="{FD47AB24-6AAE-4932-8F32-36A530DE9FFA}"/>
  </bookViews>
  <sheets>
    <sheet name="DASHBOARD" sheetId="15" r:id="rId1"/>
    <sheet name="PIVOT_TABLES" sheetId="10" r:id="rId2"/>
    <sheet name="STATE REGION MAP" sheetId="17" r:id="rId3"/>
    <sheet name="Data Intelligence Dashboard" sheetId="1" r:id="rId4"/>
    <sheet name="TOTAL SALES PER WEEK" sheetId="14" r:id="rId5"/>
    <sheet name="WEEKLY DATA" sheetId="13" r:id="rId6"/>
    <sheet name="FILTER ANALYSIS_N&amp;S" sheetId="2" r:id="rId7"/>
    <sheet name="FILTER ANALYSIS_E&amp;W" sheetId="3" r:id="rId8"/>
    <sheet name="Scenario Summary" sheetId="6" r:id="rId9"/>
    <sheet name="REGRESSION ANALYSIS" sheetId="5" r:id="rId10"/>
    <sheet name="HIGH VALUE CUSTOMERS" sheetId="7" r:id="rId11"/>
    <sheet name="FREQUENCY ANALYSIS" sheetId="8" r:id="rId12"/>
  </sheets>
  <definedNames>
    <definedName name="_xlnm._FilterDatabase" localSheetId="10" hidden="1">'HIGH VALUE CUSTOMERS'!$A$1:$C$51</definedName>
    <definedName name="_xlchart.v5.0" hidden="1">'STATE REGION MAP'!$A$1</definedName>
    <definedName name="_xlchart.v5.1" hidden="1">'STATE REGION MAP'!$A$2:$A$37</definedName>
    <definedName name="_xlchart.v5.10" hidden="1">'STATE REGION MAP'!$E$1</definedName>
    <definedName name="_xlchart.v5.11" hidden="1">'STATE REGION MAP'!$E$2:$E$37</definedName>
    <definedName name="_xlchart.v5.2" hidden="1">'STATE REGION MAP'!$E$1</definedName>
    <definedName name="_xlchart.v5.3" hidden="1">'STATE REGION MAP'!$E$2:$E$37</definedName>
    <definedName name="_xlchart.v5.4" hidden="1">'STATE REGION MAP'!$A$1</definedName>
    <definedName name="_xlchart.v5.5" hidden="1">'STATE REGION MAP'!$A$2:$A$37</definedName>
    <definedName name="_xlchart.v5.6" hidden="1">'STATE REGION MAP'!$E$2:$E$36</definedName>
    <definedName name="_xlchart.v5.7" hidden="1">'STATE REGION MAP'!$G$1</definedName>
    <definedName name="_xlchart.v5.8" hidden="1">'STATE REGION MAP'!$A$1</definedName>
    <definedName name="_xlchart.v5.9" hidden="1">'STATE REGION MAP'!$A$2:$A$37</definedName>
    <definedName name="NativeTimeline_Date">#N/A</definedName>
    <definedName name="Slicer_Category">#N/A</definedName>
    <definedName name="Slicer_Months__Date">#N/A</definedName>
    <definedName name="Slicer_Region">#N/A</definedName>
  </definedNames>
  <calcPr calcId="191029" iterate="1" iterateCount="1"/>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7" l="1"/>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2" i="17"/>
  <c r="L3" i="7" a="1"/>
  <c r="L3" i="7" s="1"/>
  <c r="K3" i="7" a="1"/>
  <c r="K3" i="7" s="1"/>
  <c r="H21" i="15"/>
  <c r="N251" i="13"/>
  <c r="N250" i="13"/>
  <c r="N249" i="13"/>
  <c r="N248" i="13"/>
  <c r="N247" i="13"/>
  <c r="N246" i="13"/>
  <c r="N245" i="13"/>
  <c r="N244" i="13"/>
  <c r="N243" i="13"/>
  <c r="N242" i="13"/>
  <c r="N241" i="13"/>
  <c r="N240" i="13"/>
  <c r="N239" i="13"/>
  <c r="N238" i="13"/>
  <c r="N237" i="13"/>
  <c r="N236" i="13"/>
  <c r="N235" i="13"/>
  <c r="N234" i="13"/>
  <c r="N233" i="13"/>
  <c r="N232" i="13"/>
  <c r="N231" i="13"/>
  <c r="N230" i="13"/>
  <c r="N229" i="13"/>
  <c r="N228" i="13"/>
  <c r="N227" i="13"/>
  <c r="N226" i="13"/>
  <c r="N225" i="13"/>
  <c r="N224" i="13"/>
  <c r="N223" i="13"/>
  <c r="N222" i="13"/>
  <c r="N221" i="13"/>
  <c r="N220" i="13"/>
  <c r="N219" i="13"/>
  <c r="N218" i="13"/>
  <c r="N217" i="13"/>
  <c r="N216" i="13"/>
  <c r="N215" i="13"/>
  <c r="N214" i="13"/>
  <c r="N213" i="13"/>
  <c r="N212" i="13"/>
  <c r="N211" i="13"/>
  <c r="N210" i="13"/>
  <c r="N209" i="13"/>
  <c r="N208" i="13"/>
  <c r="N207" i="13"/>
  <c r="N206" i="13"/>
  <c r="N205" i="13"/>
  <c r="N204" i="13"/>
  <c r="N203" i="13"/>
  <c r="N202" i="13"/>
  <c r="N201" i="13"/>
  <c r="N200" i="13"/>
  <c r="N199" i="13"/>
  <c r="N198" i="13"/>
  <c r="N197" i="13"/>
  <c r="N196" i="13"/>
  <c r="N195" i="13"/>
  <c r="N194" i="13"/>
  <c r="N193" i="13"/>
  <c r="N192" i="13"/>
  <c r="N191" i="13"/>
  <c r="N190" i="13"/>
  <c r="N189" i="13"/>
  <c r="N188" i="13"/>
  <c r="N187" i="13"/>
  <c r="N186" i="13"/>
  <c r="N185" i="13"/>
  <c r="N184" i="13"/>
  <c r="N183" i="13"/>
  <c r="N182" i="13"/>
  <c r="N181" i="13"/>
  <c r="N180" i="13"/>
  <c r="N179" i="13"/>
  <c r="N178" i="13"/>
  <c r="N177" i="13"/>
  <c r="N176" i="13"/>
  <c r="N175" i="13"/>
  <c r="N174" i="13"/>
  <c r="N173" i="13"/>
  <c r="N172" i="13"/>
  <c r="N171" i="13"/>
  <c r="N170" i="13"/>
  <c r="N169" i="13"/>
  <c r="N168" i="13"/>
  <c r="N167" i="13"/>
  <c r="N166" i="13"/>
  <c r="N165" i="13"/>
  <c r="N164" i="13"/>
  <c r="N163" i="13"/>
  <c r="N162" i="13"/>
  <c r="N161" i="13"/>
  <c r="N160" i="13"/>
  <c r="N159" i="13"/>
  <c r="N158" i="13"/>
  <c r="N157" i="13"/>
  <c r="N156" i="13"/>
  <c r="N155" i="13"/>
  <c r="N154" i="13"/>
  <c r="N153" i="13"/>
  <c r="N152" i="13"/>
  <c r="N151" i="13"/>
  <c r="N150" i="13"/>
  <c r="N149" i="13"/>
  <c r="N148" i="13"/>
  <c r="N147" i="13"/>
  <c r="N146" i="13"/>
  <c r="N145" i="13"/>
  <c r="N144" i="13"/>
  <c r="N143" i="13"/>
  <c r="N142" i="13"/>
  <c r="N141" i="13"/>
  <c r="N140" i="13"/>
  <c r="N139" i="13"/>
  <c r="N138" i="13"/>
  <c r="N137" i="13"/>
  <c r="N136" i="13"/>
  <c r="N135" i="13"/>
  <c r="N134" i="13"/>
  <c r="N133" i="13"/>
  <c r="N132" i="13"/>
  <c r="N131" i="13"/>
  <c r="N130" i="13"/>
  <c r="N129" i="13"/>
  <c r="N128" i="13"/>
  <c r="N127" i="13"/>
  <c r="N126" i="13"/>
  <c r="N125" i="13"/>
  <c r="N124" i="13"/>
  <c r="N123" i="13"/>
  <c r="N122" i="13"/>
  <c r="N121" i="13"/>
  <c r="N120" i="13"/>
  <c r="N119" i="13"/>
  <c r="N118" i="13"/>
  <c r="N117" i="13"/>
  <c r="N116" i="13"/>
  <c r="N115" i="13"/>
  <c r="N114" i="13"/>
  <c r="N113" i="13"/>
  <c r="N112" i="13"/>
  <c r="N111" i="13"/>
  <c r="N110" i="13"/>
  <c r="N109" i="13"/>
  <c r="N108" i="13"/>
  <c r="N107" i="13"/>
  <c r="N106" i="13"/>
  <c r="N105" i="13"/>
  <c r="N104" i="13"/>
  <c r="N103" i="13"/>
  <c r="N102" i="13"/>
  <c r="N101" i="13"/>
  <c r="N100" i="13"/>
  <c r="N99" i="13"/>
  <c r="N98" i="13"/>
  <c r="N97" i="13"/>
  <c r="N96" i="13"/>
  <c r="N95" i="13"/>
  <c r="N94" i="13"/>
  <c r="N93" i="13"/>
  <c r="N92" i="13"/>
  <c r="N91" i="13"/>
  <c r="N90" i="13"/>
  <c r="N89" i="13"/>
  <c r="N88" i="13"/>
  <c r="N87" i="13"/>
  <c r="N86" i="13"/>
  <c r="N85" i="13"/>
  <c r="N84" i="13"/>
  <c r="N83" i="13"/>
  <c r="N82" i="13"/>
  <c r="N81" i="13"/>
  <c r="N80" i="13"/>
  <c r="N79" i="13"/>
  <c r="N78" i="13"/>
  <c r="N77" i="13"/>
  <c r="N76" i="13"/>
  <c r="N75" i="13"/>
  <c r="N74" i="13"/>
  <c r="N73" i="13"/>
  <c r="N72" i="13"/>
  <c r="N71" i="13"/>
  <c r="N70" i="13"/>
  <c r="N69" i="13"/>
  <c r="N68" i="13"/>
  <c r="N67" i="13"/>
  <c r="N66" i="13"/>
  <c r="N65" i="13"/>
  <c r="N64" i="13"/>
  <c r="N63" i="13"/>
  <c r="N62" i="13"/>
  <c r="N61" i="13"/>
  <c r="N60" i="13"/>
  <c r="N59" i="13"/>
  <c r="N58" i="13"/>
  <c r="N57" i="13"/>
  <c r="N56" i="13"/>
  <c r="N55" i="13"/>
  <c r="N54" i="13"/>
  <c r="N53" i="13"/>
  <c r="N52" i="13"/>
  <c r="N51" i="13"/>
  <c r="N50" i="13"/>
  <c r="N49" i="13"/>
  <c r="N48" i="13"/>
  <c r="N47" i="13"/>
  <c r="N46" i="13"/>
  <c r="N45" i="13"/>
  <c r="N44" i="13"/>
  <c r="N43" i="13"/>
  <c r="N42" i="13"/>
  <c r="N41" i="13"/>
  <c r="N40" i="13"/>
  <c r="N39" i="13"/>
  <c r="N38" i="13"/>
  <c r="N37" i="13"/>
  <c r="N36" i="13"/>
  <c r="N35" i="13"/>
  <c r="N34" i="13"/>
  <c r="N33" i="13"/>
  <c r="N32" i="13"/>
  <c r="N31" i="13"/>
  <c r="N30" i="13"/>
  <c r="N29" i="13"/>
  <c r="N28" i="13"/>
  <c r="N27" i="13"/>
  <c r="N26" i="13"/>
  <c r="N25" i="13"/>
  <c r="N24" i="13"/>
  <c r="N23" i="13"/>
  <c r="N22" i="13"/>
  <c r="N21" i="13"/>
  <c r="N20" i="13"/>
  <c r="N19" i="13"/>
  <c r="N18" i="13"/>
  <c r="N17" i="13"/>
  <c r="N16" i="13"/>
  <c r="N15" i="13"/>
  <c r="N14" i="13"/>
  <c r="N13" i="13"/>
  <c r="N12" i="13"/>
  <c r="N11" i="13"/>
  <c r="N10" i="13"/>
  <c r="N9" i="13"/>
  <c r="N8" i="13"/>
  <c r="N7" i="13"/>
  <c r="N6" i="13"/>
  <c r="N5" i="13"/>
  <c r="N4" i="13"/>
  <c r="N3" i="13"/>
  <c r="N2" i="13"/>
  <c r="E5" i="8"/>
  <c r="K5" i="8" s="1"/>
  <c r="L5" i="8" s="1"/>
  <c r="E6" i="8"/>
  <c r="K6" i="8" s="1"/>
  <c r="L6" i="8" s="1"/>
  <c r="E7" i="8"/>
  <c r="K7" i="8" s="1"/>
  <c r="L7" i="8" s="1"/>
  <c r="E8" i="8"/>
  <c r="K8" i="8" s="1"/>
  <c r="L8" i="8" s="1"/>
  <c r="E9" i="8"/>
  <c r="K9" i="8" s="1"/>
  <c r="L9" i="8" s="1"/>
  <c r="E10" i="8"/>
  <c r="K10" i="8" s="1"/>
  <c r="L10" i="8" s="1"/>
  <c r="E11" i="8"/>
  <c r="K11" i="8" s="1"/>
  <c r="L11" i="8" s="1"/>
  <c r="E12" i="8"/>
  <c r="K12" i="8" s="1"/>
  <c r="L12" i="8" s="1"/>
  <c r="E13" i="8"/>
  <c r="K13" i="8" s="1"/>
  <c r="L13" i="8" s="1"/>
  <c r="E14" i="8"/>
  <c r="K14" i="8" s="1"/>
  <c r="L14" i="8" s="1"/>
  <c r="E15" i="8"/>
  <c r="K15" i="8" s="1"/>
  <c r="L15" i="8" s="1"/>
  <c r="E16" i="8"/>
  <c r="K16" i="8" s="1"/>
  <c r="L16" i="8" s="1"/>
  <c r="E17" i="8"/>
  <c r="K17" i="8" s="1"/>
  <c r="L17" i="8" s="1"/>
  <c r="E18" i="8"/>
  <c r="K18" i="8" s="1"/>
  <c r="L18" i="8" s="1"/>
  <c r="E19" i="8"/>
  <c r="K19" i="8" s="1"/>
  <c r="L19" i="8" s="1"/>
  <c r="E20" i="8"/>
  <c r="K20" i="8" s="1"/>
  <c r="L20" i="8" s="1"/>
  <c r="E21" i="8"/>
  <c r="K21" i="8" s="1"/>
  <c r="L21" i="8" s="1"/>
  <c r="E22" i="8"/>
  <c r="K22" i="8" s="1"/>
  <c r="L22" i="8" s="1"/>
  <c r="E23" i="8"/>
  <c r="K23" i="8" s="1"/>
  <c r="L23" i="8" s="1"/>
  <c r="E24" i="8"/>
  <c r="K24" i="8" s="1"/>
  <c r="L24" i="8" s="1"/>
  <c r="E25" i="8"/>
  <c r="K25" i="8" s="1"/>
  <c r="L25" i="8" s="1"/>
  <c r="E26" i="8"/>
  <c r="K26" i="8" s="1"/>
  <c r="L26" i="8" s="1"/>
  <c r="E27" i="8"/>
  <c r="K27" i="8" s="1"/>
  <c r="L27" i="8" s="1"/>
  <c r="E28" i="8"/>
  <c r="K28" i="8" s="1"/>
  <c r="L28" i="8" s="1"/>
  <c r="E29" i="8"/>
  <c r="K29" i="8" s="1"/>
  <c r="L29" i="8" s="1"/>
  <c r="E30" i="8"/>
  <c r="K30" i="8" s="1"/>
  <c r="L30" i="8" s="1"/>
  <c r="E31" i="8"/>
  <c r="K31" i="8" s="1"/>
  <c r="L31" i="8" s="1"/>
  <c r="E32" i="8"/>
  <c r="K32" i="8" s="1"/>
  <c r="L32" i="8" s="1"/>
  <c r="E33" i="8"/>
  <c r="K33" i="8" s="1"/>
  <c r="L33" i="8" s="1"/>
  <c r="E34" i="8"/>
  <c r="K34" i="8" s="1"/>
  <c r="L34" i="8" s="1"/>
  <c r="E35" i="8"/>
  <c r="K35" i="8" s="1"/>
  <c r="L35" i="8" s="1"/>
  <c r="E36" i="8"/>
  <c r="K36" i="8" s="1"/>
  <c r="L36" i="8" s="1"/>
  <c r="E37" i="8"/>
  <c r="K37" i="8" s="1"/>
  <c r="L37" i="8" s="1"/>
  <c r="E38" i="8"/>
  <c r="K38" i="8" s="1"/>
  <c r="L38" i="8" s="1"/>
  <c r="E39" i="8"/>
  <c r="K39" i="8" s="1"/>
  <c r="L39" i="8" s="1"/>
  <c r="E40" i="8"/>
  <c r="K40" i="8" s="1"/>
  <c r="L40" i="8" s="1"/>
  <c r="E41" i="8"/>
  <c r="K41" i="8" s="1"/>
  <c r="L41" i="8" s="1"/>
  <c r="E42" i="8"/>
  <c r="K42" i="8" s="1"/>
  <c r="L42" i="8" s="1"/>
  <c r="E43" i="8"/>
  <c r="K43" i="8" s="1"/>
  <c r="L43" i="8" s="1"/>
  <c r="E44" i="8"/>
  <c r="K44" i="8" s="1"/>
  <c r="L44" i="8" s="1"/>
  <c r="E45" i="8"/>
  <c r="K45" i="8" s="1"/>
  <c r="L45" i="8" s="1"/>
  <c r="E46" i="8"/>
  <c r="K46" i="8" s="1"/>
  <c r="L46" i="8" s="1"/>
  <c r="E47" i="8"/>
  <c r="K47" i="8" s="1"/>
  <c r="L47" i="8" s="1"/>
  <c r="E48" i="8"/>
  <c r="K48" i="8" s="1"/>
  <c r="L48" i="8" s="1"/>
  <c r="E49" i="8"/>
  <c r="K49" i="8" s="1"/>
  <c r="L49" i="8" s="1"/>
  <c r="E50" i="8"/>
  <c r="K50" i="8" s="1"/>
  <c r="L50" i="8" s="1"/>
  <c r="E51" i="8"/>
  <c r="K51" i="8" s="1"/>
  <c r="L51" i="8" s="1"/>
  <c r="E52" i="8"/>
  <c r="K52" i="8" s="1"/>
  <c r="L52" i="8" s="1"/>
  <c r="E53" i="8"/>
  <c r="K53" i="8" s="1"/>
  <c r="L53" i="8" s="1"/>
  <c r="E54" i="8"/>
  <c r="K54" i="8" s="1"/>
  <c r="L54" i="8" s="1"/>
  <c r="E55" i="8"/>
  <c r="K55" i="8" s="1"/>
  <c r="L55" i="8" s="1"/>
  <c r="E56" i="8"/>
  <c r="K56" i="8" s="1"/>
  <c r="L56" i="8" s="1"/>
  <c r="E57" i="8"/>
  <c r="K57" i="8" s="1"/>
  <c r="L57" i="8" s="1"/>
  <c r="E58" i="8"/>
  <c r="K58" i="8" s="1"/>
  <c r="L58" i="8" s="1"/>
  <c r="E59" i="8"/>
  <c r="K59" i="8" s="1"/>
  <c r="L59" i="8" s="1"/>
  <c r="E60" i="8"/>
  <c r="K60" i="8" s="1"/>
  <c r="L60" i="8" s="1"/>
  <c r="E61" i="8"/>
  <c r="K61" i="8" s="1"/>
  <c r="L61" i="8" s="1"/>
  <c r="E62" i="8"/>
  <c r="K62" i="8" s="1"/>
  <c r="L62" i="8" s="1"/>
  <c r="E63" i="8"/>
  <c r="K63" i="8" s="1"/>
  <c r="L63" i="8" s="1"/>
  <c r="E64" i="8"/>
  <c r="K64" i="8" s="1"/>
  <c r="L64" i="8" s="1"/>
  <c r="E65" i="8"/>
  <c r="K65" i="8" s="1"/>
  <c r="L65" i="8" s="1"/>
  <c r="E66" i="8"/>
  <c r="K66" i="8" s="1"/>
  <c r="L66" i="8" s="1"/>
  <c r="E67" i="8"/>
  <c r="K67" i="8" s="1"/>
  <c r="L67" i="8" s="1"/>
  <c r="E68" i="8"/>
  <c r="K68" i="8" s="1"/>
  <c r="L68" i="8" s="1"/>
  <c r="E69" i="8"/>
  <c r="K69" i="8" s="1"/>
  <c r="L69" i="8" s="1"/>
  <c r="E70" i="8"/>
  <c r="K70" i="8" s="1"/>
  <c r="L70" i="8" s="1"/>
  <c r="E71" i="8"/>
  <c r="K71" i="8" s="1"/>
  <c r="L71" i="8" s="1"/>
  <c r="E72" i="8"/>
  <c r="K72" i="8" s="1"/>
  <c r="L72" i="8" s="1"/>
  <c r="E73" i="8"/>
  <c r="K73" i="8" s="1"/>
  <c r="L73" i="8" s="1"/>
  <c r="E74" i="8"/>
  <c r="K74" i="8" s="1"/>
  <c r="L74" i="8" s="1"/>
  <c r="E75" i="8"/>
  <c r="K75" i="8" s="1"/>
  <c r="L75" i="8" s="1"/>
  <c r="E76" i="8"/>
  <c r="K76" i="8" s="1"/>
  <c r="L76" i="8" s="1"/>
  <c r="E77" i="8"/>
  <c r="K77" i="8" s="1"/>
  <c r="L77" i="8" s="1"/>
  <c r="E78" i="8"/>
  <c r="K78" i="8" s="1"/>
  <c r="L78" i="8" s="1"/>
  <c r="E79" i="8"/>
  <c r="K79" i="8" s="1"/>
  <c r="L79" i="8" s="1"/>
  <c r="E80" i="8"/>
  <c r="K80" i="8" s="1"/>
  <c r="L80" i="8" s="1"/>
  <c r="E81" i="8"/>
  <c r="K81" i="8" s="1"/>
  <c r="L81" i="8" s="1"/>
  <c r="E82" i="8"/>
  <c r="K82" i="8" s="1"/>
  <c r="L82" i="8" s="1"/>
  <c r="E83" i="8"/>
  <c r="K83" i="8" s="1"/>
  <c r="L83" i="8" s="1"/>
  <c r="E84" i="8"/>
  <c r="K84" i="8" s="1"/>
  <c r="L84" i="8" s="1"/>
  <c r="E85" i="8"/>
  <c r="K85" i="8" s="1"/>
  <c r="L85" i="8" s="1"/>
  <c r="E86" i="8"/>
  <c r="K86" i="8" s="1"/>
  <c r="L86" i="8" s="1"/>
  <c r="E87" i="8"/>
  <c r="K87" i="8" s="1"/>
  <c r="L87" i="8" s="1"/>
  <c r="E88" i="8"/>
  <c r="K88" i="8" s="1"/>
  <c r="L88" i="8" s="1"/>
  <c r="E89" i="8"/>
  <c r="K89" i="8" s="1"/>
  <c r="L89" i="8" s="1"/>
  <c r="E90" i="8"/>
  <c r="K90" i="8" s="1"/>
  <c r="L90" i="8" s="1"/>
  <c r="E91" i="8"/>
  <c r="K91" i="8" s="1"/>
  <c r="L91" i="8" s="1"/>
  <c r="E92" i="8"/>
  <c r="K92" i="8" s="1"/>
  <c r="L92" i="8" s="1"/>
  <c r="E93" i="8"/>
  <c r="K93" i="8" s="1"/>
  <c r="L93" i="8" s="1"/>
  <c r="E94" i="8"/>
  <c r="K94" i="8" s="1"/>
  <c r="L94" i="8" s="1"/>
  <c r="E95" i="8"/>
  <c r="K95" i="8" s="1"/>
  <c r="L95" i="8" s="1"/>
  <c r="E96" i="8"/>
  <c r="K96" i="8" s="1"/>
  <c r="L96" i="8" s="1"/>
  <c r="E97" i="8"/>
  <c r="K97" i="8" s="1"/>
  <c r="L97" i="8" s="1"/>
  <c r="E98" i="8"/>
  <c r="K98" i="8" s="1"/>
  <c r="L98" i="8" s="1"/>
  <c r="E99" i="8"/>
  <c r="K99" i="8" s="1"/>
  <c r="L99" i="8" s="1"/>
  <c r="E100" i="8"/>
  <c r="K100" i="8" s="1"/>
  <c r="L100" i="8" s="1"/>
  <c r="E101" i="8"/>
  <c r="K101" i="8" s="1"/>
  <c r="L101" i="8" s="1"/>
  <c r="E102" i="8"/>
  <c r="K102" i="8" s="1"/>
  <c r="L102" i="8" s="1"/>
  <c r="E103" i="8"/>
  <c r="K103" i="8" s="1"/>
  <c r="L103" i="8" s="1"/>
  <c r="E104" i="8"/>
  <c r="K104" i="8" s="1"/>
  <c r="L104" i="8" s="1"/>
  <c r="E105" i="8"/>
  <c r="K105" i="8" s="1"/>
  <c r="L105" i="8" s="1"/>
  <c r="E106" i="8"/>
  <c r="K106" i="8" s="1"/>
  <c r="L106" i="8" s="1"/>
  <c r="E107" i="8"/>
  <c r="K107" i="8" s="1"/>
  <c r="L107" i="8" s="1"/>
  <c r="E108" i="8"/>
  <c r="K108" i="8" s="1"/>
  <c r="L108" i="8" s="1"/>
  <c r="E109" i="8"/>
  <c r="K109" i="8" s="1"/>
  <c r="L109" i="8" s="1"/>
  <c r="E110" i="8"/>
  <c r="K110" i="8" s="1"/>
  <c r="L110" i="8" s="1"/>
  <c r="E111" i="8"/>
  <c r="K111" i="8" s="1"/>
  <c r="L111" i="8" s="1"/>
  <c r="E112" i="8"/>
  <c r="K112" i="8" s="1"/>
  <c r="L112" i="8" s="1"/>
  <c r="E113" i="8"/>
  <c r="K113" i="8" s="1"/>
  <c r="L113" i="8" s="1"/>
  <c r="E114" i="8"/>
  <c r="K114" i="8" s="1"/>
  <c r="L114" i="8" s="1"/>
  <c r="E115" i="8"/>
  <c r="K115" i="8" s="1"/>
  <c r="L115" i="8" s="1"/>
  <c r="E116" i="8"/>
  <c r="K116" i="8" s="1"/>
  <c r="L116" i="8" s="1"/>
  <c r="E117" i="8"/>
  <c r="K117" i="8" s="1"/>
  <c r="L117" i="8" s="1"/>
  <c r="E118" i="8"/>
  <c r="K118" i="8" s="1"/>
  <c r="L118" i="8" s="1"/>
  <c r="E119" i="8"/>
  <c r="K119" i="8" s="1"/>
  <c r="L119" i="8" s="1"/>
  <c r="E120" i="8"/>
  <c r="K120" i="8" s="1"/>
  <c r="L120" i="8" s="1"/>
  <c r="E121" i="8"/>
  <c r="K121" i="8" s="1"/>
  <c r="L121" i="8" s="1"/>
  <c r="E122" i="8"/>
  <c r="K122" i="8" s="1"/>
  <c r="L122" i="8" s="1"/>
  <c r="E123" i="8"/>
  <c r="K123" i="8" s="1"/>
  <c r="L123" i="8" s="1"/>
  <c r="E124" i="8"/>
  <c r="K124" i="8" s="1"/>
  <c r="L124" i="8" s="1"/>
  <c r="E125" i="8"/>
  <c r="K125" i="8" s="1"/>
  <c r="L125" i="8" s="1"/>
  <c r="E126" i="8"/>
  <c r="K126" i="8" s="1"/>
  <c r="L126" i="8" s="1"/>
  <c r="E127" i="8"/>
  <c r="K127" i="8" s="1"/>
  <c r="L127" i="8" s="1"/>
  <c r="E128" i="8"/>
  <c r="K128" i="8" s="1"/>
  <c r="L128" i="8" s="1"/>
  <c r="E129" i="8"/>
  <c r="K129" i="8" s="1"/>
  <c r="L129" i="8" s="1"/>
  <c r="E130" i="8"/>
  <c r="K130" i="8" s="1"/>
  <c r="L130" i="8" s="1"/>
  <c r="E131" i="8"/>
  <c r="K131" i="8" s="1"/>
  <c r="L131" i="8" s="1"/>
  <c r="E132" i="8"/>
  <c r="K132" i="8" s="1"/>
  <c r="L132" i="8" s="1"/>
  <c r="E133" i="8"/>
  <c r="K133" i="8" s="1"/>
  <c r="L133" i="8" s="1"/>
  <c r="E134" i="8"/>
  <c r="K134" i="8" s="1"/>
  <c r="L134" i="8" s="1"/>
  <c r="E135" i="8"/>
  <c r="K135" i="8" s="1"/>
  <c r="L135" i="8" s="1"/>
  <c r="E136" i="8"/>
  <c r="K136" i="8" s="1"/>
  <c r="L136" i="8" s="1"/>
  <c r="E137" i="8"/>
  <c r="K137" i="8" s="1"/>
  <c r="L137" i="8" s="1"/>
  <c r="E138" i="8"/>
  <c r="K138" i="8" s="1"/>
  <c r="L138" i="8" s="1"/>
  <c r="E139" i="8"/>
  <c r="K139" i="8" s="1"/>
  <c r="L139" i="8" s="1"/>
  <c r="E140" i="8"/>
  <c r="K140" i="8" s="1"/>
  <c r="L140" i="8" s="1"/>
  <c r="E141" i="8"/>
  <c r="K141" i="8" s="1"/>
  <c r="L141" i="8" s="1"/>
  <c r="E142" i="8"/>
  <c r="K142" i="8" s="1"/>
  <c r="L142" i="8" s="1"/>
  <c r="E143" i="8"/>
  <c r="K143" i="8" s="1"/>
  <c r="L143" i="8" s="1"/>
  <c r="E144" i="8"/>
  <c r="K144" i="8" s="1"/>
  <c r="L144" i="8" s="1"/>
  <c r="E145" i="8"/>
  <c r="K145" i="8" s="1"/>
  <c r="L145" i="8" s="1"/>
  <c r="E146" i="8"/>
  <c r="K146" i="8" s="1"/>
  <c r="L146" i="8" s="1"/>
  <c r="E147" i="8"/>
  <c r="K147" i="8" s="1"/>
  <c r="L147" i="8" s="1"/>
  <c r="E148" i="8"/>
  <c r="K148" i="8" s="1"/>
  <c r="L148" i="8" s="1"/>
  <c r="E149" i="8"/>
  <c r="K149" i="8" s="1"/>
  <c r="L149" i="8" s="1"/>
  <c r="E150" i="8"/>
  <c r="K150" i="8" s="1"/>
  <c r="L150" i="8" s="1"/>
  <c r="E151" i="8"/>
  <c r="K151" i="8" s="1"/>
  <c r="L151" i="8" s="1"/>
  <c r="E152" i="8"/>
  <c r="K152" i="8" s="1"/>
  <c r="L152" i="8" s="1"/>
  <c r="E153" i="8"/>
  <c r="K153" i="8" s="1"/>
  <c r="L153" i="8" s="1"/>
  <c r="E154" i="8"/>
  <c r="K154" i="8" s="1"/>
  <c r="L154" i="8" s="1"/>
  <c r="E155" i="8"/>
  <c r="K155" i="8" s="1"/>
  <c r="L155" i="8" s="1"/>
  <c r="E156" i="8"/>
  <c r="K156" i="8" s="1"/>
  <c r="L156" i="8" s="1"/>
  <c r="E157" i="8"/>
  <c r="K157" i="8" s="1"/>
  <c r="L157" i="8" s="1"/>
  <c r="E158" i="8"/>
  <c r="K158" i="8" s="1"/>
  <c r="L158" i="8" s="1"/>
  <c r="E159" i="8"/>
  <c r="K159" i="8" s="1"/>
  <c r="L159" i="8" s="1"/>
  <c r="E160" i="8"/>
  <c r="K160" i="8" s="1"/>
  <c r="L160" i="8" s="1"/>
  <c r="E161" i="8"/>
  <c r="K161" i="8" s="1"/>
  <c r="L161" i="8" s="1"/>
  <c r="E162" i="8"/>
  <c r="K162" i="8" s="1"/>
  <c r="L162" i="8" s="1"/>
  <c r="E163" i="8"/>
  <c r="K163" i="8" s="1"/>
  <c r="L163" i="8" s="1"/>
  <c r="E164" i="8"/>
  <c r="K164" i="8" s="1"/>
  <c r="L164" i="8" s="1"/>
  <c r="E165" i="8"/>
  <c r="K165" i="8" s="1"/>
  <c r="L165" i="8" s="1"/>
  <c r="E166" i="8"/>
  <c r="K166" i="8" s="1"/>
  <c r="L166" i="8" s="1"/>
  <c r="E167" i="8"/>
  <c r="K167" i="8" s="1"/>
  <c r="L167" i="8" s="1"/>
  <c r="E168" i="8"/>
  <c r="K168" i="8" s="1"/>
  <c r="L168" i="8" s="1"/>
  <c r="E169" i="8"/>
  <c r="K169" i="8" s="1"/>
  <c r="L169" i="8" s="1"/>
  <c r="E170" i="8"/>
  <c r="K170" i="8" s="1"/>
  <c r="L170" i="8" s="1"/>
  <c r="E171" i="8"/>
  <c r="K171" i="8" s="1"/>
  <c r="L171" i="8" s="1"/>
  <c r="E172" i="8"/>
  <c r="K172" i="8" s="1"/>
  <c r="L172" i="8" s="1"/>
  <c r="E173" i="8"/>
  <c r="K173" i="8" s="1"/>
  <c r="L173" i="8" s="1"/>
  <c r="E174" i="8"/>
  <c r="K174" i="8" s="1"/>
  <c r="L174" i="8" s="1"/>
  <c r="E175" i="8"/>
  <c r="K175" i="8" s="1"/>
  <c r="L175" i="8" s="1"/>
  <c r="E176" i="8"/>
  <c r="K176" i="8" s="1"/>
  <c r="L176" i="8" s="1"/>
  <c r="E177" i="8"/>
  <c r="K177" i="8" s="1"/>
  <c r="L177" i="8" s="1"/>
  <c r="E178" i="8"/>
  <c r="K178" i="8" s="1"/>
  <c r="L178" i="8" s="1"/>
  <c r="E179" i="8"/>
  <c r="K179" i="8" s="1"/>
  <c r="L179" i="8" s="1"/>
  <c r="E180" i="8"/>
  <c r="K180" i="8" s="1"/>
  <c r="L180" i="8" s="1"/>
  <c r="E181" i="8"/>
  <c r="K181" i="8" s="1"/>
  <c r="L181" i="8" s="1"/>
  <c r="E182" i="8"/>
  <c r="K182" i="8" s="1"/>
  <c r="L182" i="8" s="1"/>
  <c r="E183" i="8"/>
  <c r="K183" i="8" s="1"/>
  <c r="L183" i="8" s="1"/>
  <c r="E184" i="8"/>
  <c r="K184" i="8" s="1"/>
  <c r="L184" i="8" s="1"/>
  <c r="E185" i="8"/>
  <c r="K185" i="8" s="1"/>
  <c r="L185" i="8" s="1"/>
  <c r="E186" i="8"/>
  <c r="K186" i="8" s="1"/>
  <c r="L186" i="8" s="1"/>
  <c r="E187" i="8"/>
  <c r="K187" i="8" s="1"/>
  <c r="L187" i="8" s="1"/>
  <c r="E188" i="8"/>
  <c r="K188" i="8" s="1"/>
  <c r="L188" i="8" s="1"/>
  <c r="E189" i="8"/>
  <c r="K189" i="8" s="1"/>
  <c r="L189" i="8" s="1"/>
  <c r="E190" i="8"/>
  <c r="K190" i="8" s="1"/>
  <c r="L190" i="8" s="1"/>
  <c r="E191" i="8"/>
  <c r="K191" i="8" s="1"/>
  <c r="L191" i="8" s="1"/>
  <c r="E192" i="8"/>
  <c r="K192" i="8" s="1"/>
  <c r="L192" i="8" s="1"/>
  <c r="E193" i="8"/>
  <c r="K193" i="8" s="1"/>
  <c r="L193" i="8" s="1"/>
  <c r="E194" i="8"/>
  <c r="K194" i="8" s="1"/>
  <c r="L194" i="8" s="1"/>
  <c r="E195" i="8"/>
  <c r="K195" i="8" s="1"/>
  <c r="L195" i="8" s="1"/>
  <c r="E196" i="8"/>
  <c r="K196" i="8" s="1"/>
  <c r="L196" i="8" s="1"/>
  <c r="E197" i="8"/>
  <c r="K197" i="8" s="1"/>
  <c r="L197" i="8" s="1"/>
  <c r="E198" i="8"/>
  <c r="K198" i="8" s="1"/>
  <c r="L198" i="8" s="1"/>
  <c r="E199" i="8"/>
  <c r="K199" i="8" s="1"/>
  <c r="L199" i="8" s="1"/>
  <c r="E200" i="8"/>
  <c r="K200" i="8" s="1"/>
  <c r="L200" i="8" s="1"/>
  <c r="E201" i="8"/>
  <c r="K201" i="8" s="1"/>
  <c r="L201" i="8" s="1"/>
  <c r="E202" i="8"/>
  <c r="K202" i="8" s="1"/>
  <c r="L202" i="8" s="1"/>
  <c r="E203" i="8"/>
  <c r="K203" i="8" s="1"/>
  <c r="L203" i="8" s="1"/>
  <c r="E204" i="8"/>
  <c r="K204" i="8" s="1"/>
  <c r="L204" i="8" s="1"/>
  <c r="E205" i="8"/>
  <c r="K205" i="8" s="1"/>
  <c r="L205" i="8" s="1"/>
  <c r="E206" i="8"/>
  <c r="K206" i="8" s="1"/>
  <c r="L206" i="8" s="1"/>
  <c r="E207" i="8"/>
  <c r="K207" i="8" s="1"/>
  <c r="L207" i="8" s="1"/>
  <c r="E208" i="8"/>
  <c r="K208" i="8" s="1"/>
  <c r="L208" i="8" s="1"/>
  <c r="E209" i="8"/>
  <c r="K209" i="8" s="1"/>
  <c r="L209" i="8" s="1"/>
  <c r="E210" i="8"/>
  <c r="K210" i="8" s="1"/>
  <c r="L210" i="8" s="1"/>
  <c r="E211" i="8"/>
  <c r="K211" i="8" s="1"/>
  <c r="L211" i="8" s="1"/>
  <c r="E212" i="8"/>
  <c r="K212" i="8" s="1"/>
  <c r="L212" i="8" s="1"/>
  <c r="E213" i="8"/>
  <c r="K213" i="8" s="1"/>
  <c r="L213" i="8" s="1"/>
  <c r="E214" i="8"/>
  <c r="K214" i="8" s="1"/>
  <c r="L214" i="8" s="1"/>
  <c r="E215" i="8"/>
  <c r="K215" i="8" s="1"/>
  <c r="L215" i="8" s="1"/>
  <c r="E216" i="8"/>
  <c r="K216" i="8" s="1"/>
  <c r="L216" i="8" s="1"/>
  <c r="E217" i="8"/>
  <c r="K217" i="8" s="1"/>
  <c r="L217" i="8" s="1"/>
  <c r="E218" i="8"/>
  <c r="K218" i="8" s="1"/>
  <c r="L218" i="8" s="1"/>
  <c r="E219" i="8"/>
  <c r="K219" i="8" s="1"/>
  <c r="L219" i="8" s="1"/>
  <c r="E220" i="8"/>
  <c r="K220" i="8" s="1"/>
  <c r="L220" i="8" s="1"/>
  <c r="E221" i="8"/>
  <c r="K221" i="8" s="1"/>
  <c r="L221" i="8" s="1"/>
  <c r="E222" i="8"/>
  <c r="K222" i="8" s="1"/>
  <c r="L222" i="8" s="1"/>
  <c r="E223" i="8"/>
  <c r="K223" i="8" s="1"/>
  <c r="L223" i="8" s="1"/>
  <c r="E224" i="8"/>
  <c r="K224" i="8" s="1"/>
  <c r="L224" i="8" s="1"/>
  <c r="E225" i="8"/>
  <c r="K225" i="8" s="1"/>
  <c r="L225" i="8" s="1"/>
  <c r="E226" i="8"/>
  <c r="K226" i="8" s="1"/>
  <c r="L226" i="8" s="1"/>
  <c r="E227" i="8"/>
  <c r="K227" i="8" s="1"/>
  <c r="L227" i="8" s="1"/>
  <c r="E228" i="8"/>
  <c r="K228" i="8" s="1"/>
  <c r="L228" i="8" s="1"/>
  <c r="E229" i="8"/>
  <c r="K229" i="8" s="1"/>
  <c r="L229" i="8" s="1"/>
  <c r="E230" i="8"/>
  <c r="K230" i="8" s="1"/>
  <c r="L230" i="8" s="1"/>
  <c r="E231" i="8"/>
  <c r="K231" i="8" s="1"/>
  <c r="L231" i="8" s="1"/>
  <c r="E232" i="8"/>
  <c r="K232" i="8" s="1"/>
  <c r="L232" i="8" s="1"/>
  <c r="E233" i="8"/>
  <c r="K233" i="8" s="1"/>
  <c r="L233" i="8" s="1"/>
  <c r="E234" i="8"/>
  <c r="K234" i="8" s="1"/>
  <c r="L234" i="8" s="1"/>
  <c r="E235" i="8"/>
  <c r="K235" i="8" s="1"/>
  <c r="L235" i="8" s="1"/>
  <c r="E236" i="8"/>
  <c r="K236" i="8" s="1"/>
  <c r="L236" i="8" s="1"/>
  <c r="E237" i="8"/>
  <c r="K237" i="8" s="1"/>
  <c r="L237" i="8" s="1"/>
  <c r="E238" i="8"/>
  <c r="K238" i="8" s="1"/>
  <c r="L238" i="8" s="1"/>
  <c r="E239" i="8"/>
  <c r="K239" i="8" s="1"/>
  <c r="L239" i="8" s="1"/>
  <c r="E240" i="8"/>
  <c r="K240" i="8" s="1"/>
  <c r="L240" i="8" s="1"/>
  <c r="E241" i="8"/>
  <c r="K241" i="8" s="1"/>
  <c r="L241" i="8" s="1"/>
  <c r="E242" i="8"/>
  <c r="K242" i="8" s="1"/>
  <c r="L242" i="8" s="1"/>
  <c r="E243" i="8"/>
  <c r="K243" i="8" s="1"/>
  <c r="L243" i="8" s="1"/>
  <c r="E244" i="8"/>
  <c r="K244" i="8" s="1"/>
  <c r="L244" i="8" s="1"/>
  <c r="E245" i="8"/>
  <c r="K245" i="8" s="1"/>
  <c r="L245" i="8" s="1"/>
  <c r="E246" i="8"/>
  <c r="K246" i="8" s="1"/>
  <c r="L246" i="8" s="1"/>
  <c r="E247" i="8"/>
  <c r="K247" i="8" s="1"/>
  <c r="L247" i="8" s="1"/>
  <c r="E248" i="8"/>
  <c r="K248" i="8" s="1"/>
  <c r="L248" i="8" s="1"/>
  <c r="E249" i="8"/>
  <c r="K249" i="8" s="1"/>
  <c r="L249" i="8" s="1"/>
  <c r="E250" i="8"/>
  <c r="K250" i="8" s="1"/>
  <c r="L250" i="8" s="1"/>
  <c r="E251" i="8"/>
  <c r="K251" i="8" s="1"/>
  <c r="L251" i="8" s="1"/>
  <c r="E252" i="8"/>
  <c r="K252" i="8" s="1"/>
  <c r="L252" i="8" s="1"/>
  <c r="E253" i="8"/>
  <c r="K253" i="8" s="1"/>
  <c r="L253" i="8" s="1"/>
  <c r="E4" i="8"/>
  <c r="A2" i="8" a="1"/>
  <c r="A2" i="8" s="1"/>
  <c r="B2" i="8" s="1" a="1"/>
  <c r="B2" i="8" s="1"/>
  <c r="A15" i="8" s="1"/>
  <c r="A2" i="7" a="1"/>
  <c r="A2" i="7"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 i="1"/>
  <c r="R3" i="1"/>
  <c r="R2"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P3" i="1"/>
  <c r="P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3" i="1"/>
  <c r="O2"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U2" i="10"/>
  <c r="A3" i="3" l="1" a="1"/>
  <c r="A3" i="3" s="1"/>
  <c r="P3" i="3" a="1"/>
  <c r="P3" i="3" s="1"/>
  <c r="A3" i="2" a="1"/>
  <c r="A3" i="2" s="1"/>
  <c r="K4" i="8"/>
  <c r="L4" i="8" s="1"/>
  <c r="P3" i="2" a="1"/>
  <c r="P3" i="2" s="1"/>
  <c r="B49" i="7"/>
  <c r="B45" i="7"/>
  <c r="B41" i="7"/>
  <c r="B37" i="7"/>
  <c r="B33" i="7"/>
  <c r="B29" i="7"/>
  <c r="B25" i="7"/>
  <c r="B21" i="7"/>
  <c r="B17" i="7"/>
  <c r="B13" i="7"/>
  <c r="B9" i="7"/>
  <c r="B5" i="7"/>
  <c r="C50" i="7"/>
  <c r="C46" i="7"/>
  <c r="C42" i="7"/>
  <c r="C38" i="7"/>
  <c r="C34" i="7"/>
  <c r="C30" i="7"/>
  <c r="C26" i="7"/>
  <c r="C22" i="7"/>
  <c r="C18" i="7"/>
  <c r="C14" i="7"/>
  <c r="C10" i="7"/>
  <c r="C6" i="7"/>
  <c r="B48" i="7"/>
  <c r="B44" i="7"/>
  <c r="B40" i="7"/>
  <c r="B36" i="7"/>
  <c r="B32" i="7"/>
  <c r="B28" i="7"/>
  <c r="B24" i="7"/>
  <c r="B20" i="7"/>
  <c r="B16" i="7"/>
  <c r="B12" i="7"/>
  <c r="B8" i="7"/>
  <c r="B4" i="7"/>
  <c r="C49" i="7"/>
  <c r="C45" i="7"/>
  <c r="C41" i="7"/>
  <c r="C37" i="7"/>
  <c r="C33" i="7"/>
  <c r="C29" i="7"/>
  <c r="C25" i="7"/>
  <c r="C21" i="7"/>
  <c r="C17" i="7"/>
  <c r="C13" i="7"/>
  <c r="C9" i="7"/>
  <c r="C5" i="7"/>
  <c r="B51" i="7"/>
  <c r="B47" i="7"/>
  <c r="B43" i="7"/>
  <c r="B39" i="7"/>
  <c r="B35" i="7"/>
  <c r="B31" i="7"/>
  <c r="B27" i="7"/>
  <c r="B23" i="7"/>
  <c r="B19" i="7"/>
  <c r="B15" i="7"/>
  <c r="B11" i="7"/>
  <c r="B7" i="7"/>
  <c r="B3" i="7"/>
  <c r="C48" i="7"/>
  <c r="C44" i="7"/>
  <c r="C40" i="7"/>
  <c r="C36" i="7"/>
  <c r="C32" i="7"/>
  <c r="C28" i="7"/>
  <c r="C24" i="7"/>
  <c r="C20" i="7"/>
  <c r="C16" i="7"/>
  <c r="C12" i="7"/>
  <c r="C8" i="7"/>
  <c r="C4" i="7"/>
  <c r="B50" i="7"/>
  <c r="B46" i="7"/>
  <c r="B42" i="7"/>
  <c r="B38" i="7"/>
  <c r="B34" i="7"/>
  <c r="B30" i="7"/>
  <c r="B26" i="7"/>
  <c r="B22" i="7"/>
  <c r="B18" i="7"/>
  <c r="B14" i="7"/>
  <c r="B10" i="7"/>
  <c r="B6" i="7"/>
  <c r="C51" i="7"/>
  <c r="C47" i="7"/>
  <c r="C43" i="7"/>
  <c r="C39" i="7"/>
  <c r="C35" i="7"/>
  <c r="C31" i="7"/>
  <c r="C27" i="7"/>
  <c r="C23" i="7"/>
  <c r="C19" i="7"/>
  <c r="C15" i="7"/>
  <c r="C11" i="7"/>
  <c r="C7" i="7"/>
  <c r="C3" i="7"/>
  <c r="C2" i="7"/>
  <c r="B2" i="7"/>
  <c r="E2" i="7" l="1" a="1"/>
  <c r="E2" i="7" s="1"/>
  <c r="F4" i="8" s="1" a="1"/>
  <c r="F4" i="8" s="1"/>
  <c r="G4" i="8" s="1" a="1"/>
  <c r="G4" i="8" s="1"/>
  <c r="I2" i="7" l="1" a="1"/>
  <c r="I2" i="7" s="1"/>
  <c r="G2" i="7" a="1"/>
  <c r="G2" i="7" s="1"/>
  <c r="H2" i="7" a="1"/>
  <c r="H2" i="7" s="1"/>
  <c r="F2" i="7" a="1"/>
  <c r="F2" i="7" s="1"/>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<sst xmlns="http://schemas.openxmlformats.org/spreadsheetml/2006/main" count="4828" uniqueCount="573">
  <si>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</si>
  <si>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</si>
  <si>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</si>
  <si>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</si>
  <si>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</si>
  <si>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</si>
  <si>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</si>
  <si>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</si>
  <si>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</si>
  <si>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</si>
  <si>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</si>
  <si>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</si>
  <si>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</si>
  <si>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</si>
  <si>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</si>
  <si>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</si>
  <si>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</si>
  <si>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</si>
  <si>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</si>
  <si>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</si>
  <si>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</si>
  <si>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</si>
  <si>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</si>
  <si>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</si>
  <si>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</si>
  <si>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</si>
  <si>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</si>
  <si>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</si>
  <si>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</si>
  <si>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</si>
  <si>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</si>
  <si>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</si>
  <si>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</si>
  <si>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</si>
  <si>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</si>
  <si>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</si>
  <si>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</si>
  <si>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</si>
  <si>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</si>
  <si>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</si>
  <si>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</si>
  <si>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</si>
  <si>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</si>
  <si>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</si>
  <si>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</si>
  <si>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</si>
  <si>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</si>
  <si>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</si>
  <si>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</si>
  <si>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</si>
  <si>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</si>
  <si>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</si>
  <si>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</si>
  <si>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</si>
  <si>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</si>
  <si>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</si>
  <si>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</si>
  <si>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</si>
  <si>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</si>
  <si>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</si>
  <si>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</si>
  <si>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</si>
  <si>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</si>
  <si>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</si>
  <si>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</si>
  <si>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</si>
  <si>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</si>
  <si>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</si>
  <si>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</si>
  <si>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</si>
  <si>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</si>
  <si>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</si>
  <si>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</si>
  <si>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</si>
  <si>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</si>
  <si>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</si>
  <si>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</si>
  <si>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</si>
  <si>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</si>
  <si>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</si>
  <si>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</si>
  <si>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</si>
  <si>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</si>
  <si>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</si>
  <si>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</si>
  <si>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</si>
  <si>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</si>
  <si>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</si>
  <si>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</si>
  <si>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</si>
  <si>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</si>
  <si>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</si>
  <si>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</si>
  <si>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</si>
  <si>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</si>
  <si>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</si>
  <si>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</si>
  <si>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</si>
  <si>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</si>
  <si>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</si>
  <si>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</si>
  <si>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</si>
  <si>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</si>
  <si>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</si>
  <si>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</si>
  <si>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</si>
  <si>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</si>
  <si>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</si>
  <si>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</si>
  <si>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</si>
  <si>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</si>
  <si>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</si>
  <si>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</si>
  <si>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</si>
  <si>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</si>
  <si>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</si>
  <si>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</si>
  <si>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</si>
  <si>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</si>
  <si>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</si>
  <si>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</si>
  <si>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</si>
  <si>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</si>
  <si>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</si>
  <si>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</si>
  <si>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</si>
  <si>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</si>
  <si>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</si>
  <si>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</si>
  <si>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</si>
  <si>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</si>
  <si>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</si>
  <si>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</si>
  <si>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</si>
  <si>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</si>
  <si>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</si>
  <si>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</si>
  <si>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</si>
  <si>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</si>
  <si>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</si>
  <si>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</si>
  <si>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</si>
  <si>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</si>
  <si>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</si>
  <si>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</si>
  <si>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</si>
  <si>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</si>
  <si>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</si>
  <si>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</si>
  <si>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</si>
  <si>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</si>
  <si>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</si>
  <si>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</si>
  <si>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</si>
  <si>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</si>
  <si>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</si>
  <si>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</si>
  <si>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</si>
  <si>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</si>
  <si>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</si>
  <si>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</si>
  <si>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</si>
  <si>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</si>
  <si>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</si>
  <si>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</si>
  <si>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</si>
  <si>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</si>
  <si>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</si>
  <si>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</si>
  <si>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</si>
  <si>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</si>
  <si>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</si>
  <si>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</si>
  <si>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</si>
  <si>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</si>
  <si>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</si>
  <si>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</si>
  <si>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</si>
  <si>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</si>
  <si>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</si>
  <si>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</si>
  <si>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</si>
  <si>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</si>
  <si>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</si>
  <si>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</si>
  <si>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</si>
  <si>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</si>
  <si>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</si>
  <si>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</si>
  <si>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</si>
  <si>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</si>
  <si>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</si>
  <si>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</si>
  <si>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</si>
  <si>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</si>
  <si>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</si>
  <si>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</si>
  <si>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</si>
  <si>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</si>
  <si>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</si>
  <si>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</si>
  <si>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</si>
  <si>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</si>
  <si>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</si>
  <si>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</si>
  <si>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</si>
  <si>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</si>
  <si>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</si>
  <si>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</si>
  <si>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</si>
  <si>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</si>
  <si>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</si>
  <si>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</si>
  <si>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</si>
  <si>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</si>
  <si>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</si>
  <si>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</si>
  <si>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</si>
  <si>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</si>
  <si>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</si>
  <si>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</si>
  <si>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</si>
  <si>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</si>
  <si>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</si>
  <si>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</si>
  <si>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</si>
  <si>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</si>
  <si>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</si>
  <si>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</si>
  <si>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</si>
  <si>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</si>
  <si>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</si>
  <si>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</si>
  <si>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</si>
  <si>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</si>
  <si>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</si>
  <si>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</si>
  <si>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</si>
  <si>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</si>
  <si>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</si>
  <si>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</si>
  <si>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</si>
  <si>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</si>
  <si>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</si>
  <si>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</si>
  <si>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</si>
  <si>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</si>
  <si>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</si>
  <si>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</si>
  <si>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</si>
  <si>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</si>
  <si>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</si>
  <si>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</si>
  <si>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</si>
  <si>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</si>
  <si>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</si>
  <si>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</si>
  <si>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</si>
  <si>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</si>
  <si>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</si>
  <si>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</si>
  <si>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</si>
  <si>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</si>
  <si>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</si>
  <si>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</si>
  <si>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</si>
  <si>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</si>
  <si>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</si>
  <si>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</si>
  <si>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</si>
  <si>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</si>
  <si>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</si>
  <si>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</si>
  <si>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</si>
  <si>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</si>
  <si>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</si>
  <si>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</si>
  <si>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</si>
  <si>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</si>
  <si>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</si>
  <si>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</si>
  <si>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</si>
  <si>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</si>
  <si>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</si>
  <si>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</si>
  <si>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</si>
  <si>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</si>
  <si>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</si>
  <si>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</si>
  <si>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</si>
  <si>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</si>
  <si>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</si>
  <si>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</si>
  <si>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</si>
  <si>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</si>
  <si>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</si>
  <si>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</si>
  <si>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</si>
  <si>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</si>
  <si>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</si>
  <si>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</si>
  <si>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</si>
  <si>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</si>
  <si>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</si>
  <si>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</si>
  <si>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</si>
  <si>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</si>
  <si>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</si>
  <si>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</si>
  <si>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</si>
  <si>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</si>
  <si>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</si>
  <si>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</si>
  <si>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</si>
  <si>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</si>
  <si>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</si>
  <si>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</si>
  <si>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</si>
  <si>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</si>
  <si>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</si>
  <si>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</si>
  <si>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</si>
  <si>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</si>
  <si>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</si>
  <si>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</si>
  <si>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</si>
  <si>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</si>
  <si>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</si>
  <si>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</si>
  <si>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</si>
  <si>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</si>
  <si>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</si>
  <si>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</si>
  <si>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</si>
  <si>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</si>
  <si>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</si>
  <si>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</si>
  <si>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</si>
  <si>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</si>
  <si>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</si>
  <si>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</si>
  <si>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</si>
  <si>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</si>
  <si>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</si>
  <si>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</si>
  <si>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</si>
  <si>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</si>
  <si>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</si>
  <si>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</si>
  <si>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</si>
  <si>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</si>
  <si>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</si>
  <si>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</si>
  <si>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</si>
  <si>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</si>
  <si>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</si>
  <si>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</si>
  <si>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</si>
  <si>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</si>
  <si>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</si>
  <si>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</si>
  <si>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</si>
  <si>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</si>
  <si>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</si>
  <si>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</si>
  <si>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</si>
  <si>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</si>
  <si>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</si>
  <si>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</si>
  <si>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</si>
  <si>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</si>
  <si>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</si>
  <si>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</si>
  <si>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</si>
  <si>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</si>
  <si>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</si>
  <si>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</si>
  <si>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</si>
  <si>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</si>
  <si>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</si>
  <si>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</si>
  <si>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</si>
  <si>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</si>
  <si>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</si>
  <si>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</si>
  <si>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</si>
  <si>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</si>
  <si>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</si>
  <si>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</si>
  <si>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</si>
  <si>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</si>
  <si>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</si>
  <si>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</si>
  <si>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</si>
  <si>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</si>
  <si>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</si>
  <si>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</si>
  <si>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</si>
  <si>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</si>
  <si>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Customer_Tenure</t>
  </si>
  <si>
    <t>Current_Date</t>
  </si>
  <si>
    <t>Timestamp</t>
  </si>
  <si>
    <t>Month_End</t>
  </si>
  <si>
    <t>NORTH REGION FILTER</t>
  </si>
  <si>
    <t>SOUTH REGION FILTER</t>
  </si>
  <si>
    <t>WEST REGION FILTER</t>
  </si>
  <si>
    <t>EAST REGION FILTER</t>
  </si>
  <si>
    <t>$H$2</t>
  </si>
  <si>
    <t>$I$2</t>
  </si>
  <si>
    <t>$U$3</t>
  </si>
  <si>
    <t>Best Case</t>
  </si>
  <si>
    <t>Created by kalpesh patil on 9/22/2026</t>
  </si>
  <si>
    <t>Normal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</si>
  <si>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</si>
  <si>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</si>
  <si>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</si>
  <si>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</si>
  <si>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</si>
  <si>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</si>
  <si>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</si>
  <si>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</si>
  <si>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</si>
  <si>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</si>
  <si>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</si>
  <si>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</si>
  <si>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</si>
  <si>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</si>
  <si>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</si>
  <si>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</si>
  <si>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</si>
  <si>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</si>
  <si>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</si>
  <si>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</si>
  <si>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</si>
  <si>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</si>
  <si>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</si>
  <si>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</si>
  <si>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</si>
  <si>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</si>
  <si>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</si>
  <si>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</si>
  <si>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</si>
  <si>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</si>
  <si>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</si>
  <si>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</si>
  <si>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CUSTOMER_ID</t>
  </si>
  <si>
    <t>CUSTOMER_NAME</t>
  </si>
  <si>
    <t>TOTAL_PURCHASE</t>
  </si>
  <si>
    <t>PRODUCT_NAME</t>
  </si>
  <si>
    <t>CATEGORY</t>
  </si>
  <si>
    <t>TOP 10 HIGH VALUE CUSTOMERS</t>
  </si>
  <si>
    <t>PURCHASE_COUNT</t>
  </si>
  <si>
    <t>MOST_FREQUENT_PRODUCT</t>
  </si>
  <si>
    <t>LIST COMPARISON – MATCHING NAMES</t>
  </si>
  <si>
    <t>LIST_1</t>
  </si>
  <si>
    <t>LIST_2</t>
  </si>
  <si>
    <t>MATCHING_NAMES</t>
  </si>
  <si>
    <t>CUSTOMER ABBREVIATIONS</t>
  </si>
  <si>
    <t>ABBREVIATION</t>
  </si>
  <si>
    <t>Row Labels</t>
  </si>
  <si>
    <t>Grand Total</t>
  </si>
  <si>
    <t>Sum of Total_Amount</t>
  </si>
  <si>
    <t>REGIONAL SALES</t>
  </si>
  <si>
    <t>PRODUCT SALES</t>
  </si>
  <si>
    <t>MONTHLY SALES</t>
  </si>
  <si>
    <t>4/11/2024 - 4/17/2024</t>
  </si>
  <si>
    <t>4/18/2024 - 4/24/2024</t>
  </si>
  <si>
    <t>4/25/2024 - 5/1/2024</t>
  </si>
  <si>
    <t>5/2/2024 - 5/8/2024</t>
  </si>
  <si>
    <t>5/9/2024 - 5/15/2024</t>
  </si>
  <si>
    <t>5/16/2024 - 5/22/2024</t>
  </si>
  <si>
    <t>5/23/2024 - 5/29/2024</t>
  </si>
  <si>
    <t>5/30/2024 - 6/5/2024</t>
  </si>
  <si>
    <t>6/6/2024 - 6/12/2024</t>
  </si>
  <si>
    <t>6/13/2024 - 6/19/2024</t>
  </si>
  <si>
    <t>6/20/2024 - 6/26/2024</t>
  </si>
  <si>
    <t>6/27/2024 - 7/3/2024</t>
  </si>
  <si>
    <t>7/4/2024 - 7/10/2024</t>
  </si>
  <si>
    <t>7/11/2024 - 7/17/2024</t>
  </si>
  <si>
    <t>7/18/2024 - 7/24/2024</t>
  </si>
  <si>
    <t>7/25/2024 - 7/31/2024</t>
  </si>
  <si>
    <t>8/1/2024 - 8/7/2024</t>
  </si>
  <si>
    <t>8/8/2024 - 8/14/2024</t>
  </si>
  <si>
    <t>8/15/2024 - 8/21/2024</t>
  </si>
  <si>
    <t>8/22/2024 - 8/28/2024</t>
  </si>
  <si>
    <t>8/29/2024 - 9/4/2024</t>
  </si>
  <si>
    <t>9/5/2024 - 9/11/2024</t>
  </si>
  <si>
    <t>9/12/2024 - 9/18/2024</t>
  </si>
  <si>
    <t>9/19/2024 - 9/25/2024</t>
  </si>
  <si>
    <t>9/26/2024 - 10/2/2024</t>
  </si>
  <si>
    <t>10/3/2024 - 10/9/2024</t>
  </si>
  <si>
    <t>10/10/2024 - 10/16/2024</t>
  </si>
  <si>
    <t>10/17/2024 - 10/23/2024</t>
  </si>
  <si>
    <t>10/24/2024 - 10/30/2024</t>
  </si>
  <si>
    <t>10/31/2024 - 11/6/2024</t>
  </si>
  <si>
    <t>11/7/2024 - 11/13/2024</t>
  </si>
  <si>
    <t>11/14/2024 - 11/20/2024</t>
  </si>
  <si>
    <t>11/21/2024 - 11/27/2024</t>
  </si>
  <si>
    <t>11/28/2024 - 12/4/2024</t>
  </si>
  <si>
    <t>12/5/2024 - 12/11/2024</t>
  </si>
  <si>
    <t>12/12/2024 - 12/18/2024</t>
  </si>
  <si>
    <t>12/19/2024 - 12/25/2024</t>
  </si>
  <si>
    <t>12/26/2024 - 1/1/2025</t>
  </si>
  <si>
    <t>1/2/2025 - 1/8/2025</t>
  </si>
  <si>
    <t>1/9/2025 - 1/15/2025</t>
  </si>
  <si>
    <t>1/16/2025 - 1/22/2025</t>
  </si>
  <si>
    <t>1/23/2025 - 1/29/2025</t>
  </si>
  <si>
    <t>1/30/2025 - 2/5/2025</t>
  </si>
  <si>
    <t>2/6/2025 - 2/12/2025</t>
  </si>
  <si>
    <t>2/13/2025 - 2/19/2025</t>
  </si>
  <si>
    <t>2/20/2025 - 2/26/2025</t>
  </si>
  <si>
    <t>2/27/2025 - 3/5/2025</t>
  </si>
  <si>
    <t>3/6/2025 - 3/12/2025</t>
  </si>
  <si>
    <t>3/13/2025 - 3/19/2025</t>
  </si>
  <si>
    <t>3/20/2025 - 3/26/2025</t>
  </si>
  <si>
    <t>3/27/2025 - 4/2/2025</t>
  </si>
  <si>
    <t>4/3/2025 - 4/9/2025</t>
  </si>
  <si>
    <t>4/10/2025 - 4/12/2025</t>
  </si>
  <si>
    <t>TOTAL SALES PER WEEK</t>
  </si>
  <si>
    <t>Apr</t>
  </si>
  <si>
    <t>May</t>
  </si>
  <si>
    <t>Jun</t>
  </si>
  <si>
    <t>Jul</t>
  </si>
  <si>
    <t>Aug</t>
  </si>
  <si>
    <t>Sep</t>
  </si>
  <si>
    <t>Oct</t>
  </si>
  <si>
    <t>Nov</t>
  </si>
  <si>
    <t>Dec</t>
  </si>
  <si>
    <t>Jan</t>
  </si>
  <si>
    <t>Feb</t>
  </si>
  <si>
    <t>Mar</t>
  </si>
  <si>
    <t>TOP 3 CUSTOMERS</t>
  </si>
  <si>
    <t>CUSTOMER NAME</t>
  </si>
  <si>
    <t>TOTAL PURCHASE</t>
  </si>
  <si>
    <t>State</t>
  </si>
  <si>
    <t>Jammu and Kashmir</t>
  </si>
  <si>
    <t>Ladakh</t>
  </si>
  <si>
    <t>Himachal Pradesh</t>
  </si>
  <si>
    <t>Punjab</t>
  </si>
  <si>
    <t>Chandigarh</t>
  </si>
  <si>
    <t>Uttarakhand</t>
  </si>
  <si>
    <t>Haryana</t>
  </si>
  <si>
    <t>Delhi</t>
  </si>
  <si>
    <t>Rajasthan</t>
  </si>
  <si>
    <t>Uttar Pradesh</t>
  </si>
  <si>
    <t>Madhya Pradesh</t>
  </si>
  <si>
    <t>Chhattisgarh</t>
  </si>
  <si>
    <t>Maharashtra</t>
  </si>
  <si>
    <t>Gujarat</t>
  </si>
  <si>
    <t>Goa</t>
  </si>
  <si>
    <t>Dadra and Nagar Haveli and Daman and Diu</t>
  </si>
  <si>
    <t>Andhra Pradesh</t>
  </si>
  <si>
    <t>Telangana</t>
  </si>
  <si>
    <t>Karnataka</t>
  </si>
  <si>
    <t>Kerala</t>
  </si>
  <si>
    <t>Tamil Nadu</t>
  </si>
  <si>
    <t>Puducherry</t>
  </si>
  <si>
    <t>Lakshadweep</t>
  </si>
  <si>
    <t>Andaman and Nicobar Islands</t>
  </si>
  <si>
    <t>Bihar</t>
  </si>
  <si>
    <t>Jharkhand</t>
  </si>
  <si>
    <t>Odisha</t>
  </si>
  <si>
    <t>Sikkim</t>
  </si>
  <si>
    <t>West Bengal</t>
  </si>
  <si>
    <t>Assam</t>
  </si>
  <si>
    <t>Arunachal Pradesh</t>
  </si>
  <si>
    <t>Manipur</t>
  </si>
  <si>
    <t>Meghalaya</t>
  </si>
  <si>
    <t>Mizoram</t>
  </si>
  <si>
    <t>Nagaland</t>
  </si>
  <si>
    <t>Tripura</t>
  </si>
  <si>
    <t>SELECT REGION</t>
  </si>
  <si>
    <t>MAP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</si>
</sst>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0.00"/>
    <numFmt numFmtId="166" formatCode="&quot;$&quot;#,##0.0"/>
    <numFmt numFmtId="167" formatCode="&quot;$&quot;#,##0"/>
  </numFmts>
  <fonts count="21"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name val="Calibri"/>
      <family val="2"/>
    </font>
    <font>
      <b/>
      <sz val="12"/>
      <name val="Calibri"/>
      <family val="2"/>
    </font>
    <font>
      <b/>
      <sz val="12"/>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i/>
      <sz val="11"/>
      <color theme="1"/>
      <name val="Aptos Narrow"/>
      <family val="2"/>
      <scheme val="minor"/>
    </font>
    <font>
      <b/>
      <i/>
      <sz val="12"/>
      <color theme="1"/>
      <name val="Aptos Narrow"/>
      <family val="2"/>
      <scheme val="minor"/>
    </font>
    <font>
      <b/>
      <sz val="14"/>
      <color theme="1"/>
      <name val="Arial Black"/>
      <family val="2"/>
    </font>
    <font>
      <sz val="20"/>
      <color theme="1"/>
      <name val="Arial Black"/>
      <family val="2"/>
    </font>
    <font>
      <b/>
      <sz val="11"/>
      <color theme="1"/>
      <name val="Aptos Narrow"/>
      <family val="2"/>
      <scheme val="minor"/>
    </font>
    <font>
      <sz val="11"/>
      <color rgb="FFFF0000"/>
      <name val="Aptos Narrow"/>
      <family val="2"/>
      <scheme val="minor"/>
    </font>
    <font>
      <b/>
      <sz val="16"/>
      <color theme="1"/>
      <name val="Aptos Narrow"/>
      <family val="2"/>
      <scheme val="minor"/>
    </font>
    <font>
      <sz val="8"/>
      <name val="Aptos Narrow"/>
      <family val="2"/>
      <scheme val="minor"/>
    </font>
    <font>
      <sz val="1"/>
      <color rgb="FF5B001E"/>
      <name val="Aptos Narrow"/>
      <family val="2"/>
      <scheme val="minor"/>
    </font>
  </fonts>
  <fills count="2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rgb="FF5B001E"/>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112">
    <xf numFmtId="0" fontId="0" fillId="0" borderId="0" xfId="0"/>
    <xf numFmtId="164" fontId="4" fillId="0" borderId="1" xfId="0" applyNumberFormat="1" applyFont="1" applyBorder="1" applyAlignment="1">
      <alignment horizontal="center" wrapText="1"/>
    </xf>
    <xf numFmtId="0" fontId="4" fillId="0" borderId="1" xfId="0" applyFont="1" applyBorder="1" applyAlignment="1">
      <alignment horizontal="center" wrapText="1"/>
    </xf>
    <xf numFmtId="1" fontId="4" fillId="0" borderId="1" xfId="0" applyNumberFormat="1" applyFont="1" applyBorder="1" applyAlignment="1">
      <alignment horizontal="center" wrapText="1"/>
    </xf>
    <xf numFmtId="165" fontId="4" fillId="0" borderId="1" xfId="0" applyNumberFormat="1" applyFont="1" applyBorder="1" applyAlignment="1">
      <alignment horizontal="center" wrapText="1"/>
    </xf>
    <xf numFmtId="164" fontId="4" fillId="0" borderId="5" xfId="0" applyNumberFormat="1" applyFont="1" applyBorder="1" applyAlignment="1">
      <alignment horizontal="center" wrapText="1"/>
    </xf>
    <xf numFmtId="0" fontId="5" fillId="5" borderId="2" xfId="0" applyFont="1" applyFill="1" applyBorder="1" applyAlignment="1">
      <alignment horizontal="center" wrapText="1"/>
    </xf>
    <xf numFmtId="164" fontId="5" fillId="5" borderId="3" xfId="0" applyNumberFormat="1" applyFont="1" applyFill="1" applyBorder="1" applyAlignment="1">
      <alignment horizontal="center" wrapText="1"/>
    </xf>
    <xf numFmtId="0" fontId="5" fillId="5" borderId="3" xfId="0" applyFont="1" applyFill="1" applyBorder="1" applyAlignment="1">
      <alignment horizontal="center" wrapText="1"/>
    </xf>
    <xf numFmtId="1" fontId="5" fillId="5" borderId="3" xfId="0" applyNumberFormat="1" applyFont="1" applyFill="1" applyBorder="1" applyAlignment="1">
      <alignment horizontal="center" wrapText="1"/>
    </xf>
    <xf numFmtId="165" fontId="5" fillId="5" borderId="3" xfId="0" applyNumberFormat="1" applyFont="1" applyFill="1" applyBorder="1" applyAlignment="1">
      <alignment horizontal="center" wrapText="1"/>
    </xf>
    <xf numFmtId="165" fontId="5" fillId="5" borderId="4" xfId="0" applyNumberFormat="1" applyFont="1" applyFill="1" applyBorder="1" applyAlignment="1">
      <alignment horizontal="center" wrapText="1"/>
    </xf>
    <xf numFmtId="14" fontId="4" fillId="0" borderId="3" xfId="0" applyNumberFormat="1" applyFont="1" applyBorder="1" applyAlignment="1">
      <alignment horizontal="center" wrapText="1"/>
    </xf>
    <xf numFmtId="14" fontId="4" fillId="0" borderId="1" xfId="0" applyNumberFormat="1" applyFont="1" applyBorder="1" applyAlignment="1">
      <alignment horizontal="center" wrapText="1"/>
    </xf>
    <xf numFmtId="14" fontId="4" fillId="0" borderId="5" xfId="0" applyNumberFormat="1" applyFont="1" applyBorder="1" applyAlignment="1">
      <alignment horizontal="center" wrapText="1"/>
    </xf>
    <xf numFmtId="22" fontId="4" fillId="0" borderId="3" xfId="0" applyNumberFormat="1" applyFont="1" applyBorder="1" applyAlignment="1">
      <alignment horizontal="center" wrapText="1"/>
    </xf>
    <xf numFmtId="22" fontId="4" fillId="0" borderId="1" xfId="0" applyNumberFormat="1" applyFont="1" applyBorder="1" applyAlignment="1">
      <alignment horizontal="center" wrapText="1"/>
    </xf>
    <xf numFmtId="22" fontId="4" fillId="0" borderId="5" xfId="0" applyNumberFormat="1" applyFont="1" applyBorder="1" applyAlignment="1">
      <alignment horizontal="center" wrapText="1"/>
    </xf>
    <xf numFmtId="164" fontId="4" fillId="0" borderId="3" xfId="0" applyNumberFormat="1" applyFont="1" applyBorder="1" applyAlignment="1">
      <alignment horizontal="center" wrapText="1"/>
    </xf>
    <xf numFmtId="0" fontId="0" fillId="0" borderId="1" xfId="0" applyBorder="1" applyAlignment="1">
      <alignment horizontal="center"/>
    </xf>
    <xf numFmtId="0" fontId="6" fillId="5" borderId="1" xfId="0" applyFont="1" applyFill="1" applyBorder="1" applyAlignment="1">
      <alignment horizontal="center"/>
    </xf>
    <xf numFmtId="164" fontId="6" fillId="5" borderId="1" xfId="0" applyNumberFormat="1" applyFont="1" applyFill="1" applyBorder="1" applyAlignment="1">
      <alignment horizontal="center"/>
    </xf>
    <xf numFmtId="164" fontId="0" fillId="0" borderId="1" xfId="0" applyNumberFormat="1" applyBorder="1" applyAlignment="1">
      <alignment horizontal="center"/>
    </xf>
    <xf numFmtId="1" fontId="6" fillId="5" borderId="1" xfId="0" applyNumberFormat="1" applyFont="1" applyFill="1" applyBorder="1" applyAlignment="1">
      <alignment horizontal="center"/>
    </xf>
    <xf numFmtId="1" fontId="0" fillId="0" borderId="1" xfId="0" applyNumberFormat="1" applyBorder="1" applyAlignment="1">
      <alignment horizontal="center"/>
    </xf>
    <xf numFmtId="166" fontId="6" fillId="5" borderId="1" xfId="0" applyNumberFormat="1" applyFont="1" applyFill="1" applyBorder="1" applyAlignment="1">
      <alignment horizontal="center"/>
    </xf>
    <xf numFmtId="166" fontId="0" fillId="0" borderId="1" xfId="0" applyNumberFormat="1" applyBorder="1" applyAlignment="1">
      <alignment horizontal="center"/>
    </xf>
    <xf numFmtId="0" fontId="0" fillId="7" borderId="0" xfId="0" applyFill="1"/>
    <xf numFmtId="0" fontId="0" fillId="8" borderId="1" xfId="0" applyFill="1" applyBorder="1" applyAlignment="1">
      <alignment horizontal="center"/>
    </xf>
    <xf numFmtId="166" fontId="3" fillId="4" borderId="1" xfId="3" applyNumberFormat="1" applyBorder="1" applyAlignment="1">
      <alignment horizontal="center"/>
    </xf>
    <xf numFmtId="166" fontId="2" fillId="3" borderId="1" xfId="2" applyNumberFormat="1" applyBorder="1" applyAlignment="1">
      <alignment horizontal="center"/>
    </xf>
    <xf numFmtId="0" fontId="2" fillId="3" borderId="1" xfId="2" applyBorder="1" applyAlignment="1">
      <alignment horizontal="center"/>
    </xf>
    <xf numFmtId="166" fontId="1" fillId="2" borderId="1" xfId="1" applyNumberFormat="1" applyBorder="1" applyAlignment="1">
      <alignment horizontal="center"/>
    </xf>
    <xf numFmtId="164" fontId="2" fillId="3" borderId="1" xfId="2" applyNumberFormat="1" applyBorder="1" applyAlignment="1">
      <alignment horizontal="center"/>
    </xf>
    <xf numFmtId="164" fontId="3" fillId="4" borderId="1" xfId="3" applyNumberFormat="1" applyBorder="1" applyAlignment="1">
      <alignment horizontal="center"/>
    </xf>
    <xf numFmtId="164" fontId="1" fillId="2" borderId="1" xfId="1" applyNumberFormat="1" applyBorder="1" applyAlignment="1">
      <alignment horizontal="center"/>
    </xf>
    <xf numFmtId="0" fontId="0" fillId="0" borderId="0" xfId="0" applyFill="1" applyBorder="1" applyAlignment="1"/>
    <xf numFmtId="1" fontId="0" fillId="0" borderId="0" xfId="0" applyNumberFormat="1" applyFill="1" applyBorder="1" applyAlignment="1"/>
    <xf numFmtId="165" fontId="0" fillId="0" borderId="0" xfId="0" applyNumberFormat="1" applyFill="1" applyBorder="1" applyAlignment="1"/>
    <xf numFmtId="0" fontId="0" fillId="0" borderId="8" xfId="0" applyFill="1" applyBorder="1" applyAlignment="1"/>
    <xf numFmtId="0" fontId="7" fillId="9" borderId="6" xfId="0" applyFont="1" applyFill="1" applyBorder="1" applyAlignment="1">
      <alignment horizontal="left"/>
    </xf>
    <xf numFmtId="0" fontId="7" fillId="9" borderId="7" xfId="0" applyFont="1" applyFill="1" applyBorder="1" applyAlignment="1">
      <alignment horizontal="left"/>
    </xf>
    <xf numFmtId="0" fontId="0" fillId="0" borderId="9" xfId="0" applyFill="1" applyBorder="1" applyAlignment="1"/>
    <xf numFmtId="0" fontId="8" fillId="10" borderId="0" xfId="0" applyFont="1" applyFill="1" applyBorder="1" applyAlignment="1">
      <alignment horizontal="left"/>
    </xf>
    <xf numFmtId="0" fontId="9" fillId="10" borderId="9" xfId="0" applyFont="1" applyFill="1" applyBorder="1" applyAlignment="1">
      <alignment horizontal="left"/>
    </xf>
    <xf numFmtId="0" fontId="8" fillId="10" borderId="8" xfId="0" applyFont="1" applyFill="1" applyBorder="1" applyAlignment="1">
      <alignment horizontal="left"/>
    </xf>
    <xf numFmtId="0" fontId="10" fillId="9" borderId="7" xfId="0" applyFont="1" applyFill="1" applyBorder="1" applyAlignment="1">
      <alignment horizontal="right"/>
    </xf>
    <xf numFmtId="0" fontId="10" fillId="9" borderId="6" xfId="0" applyFont="1" applyFill="1" applyBorder="1" applyAlignment="1">
      <alignment horizontal="right"/>
    </xf>
    <xf numFmtId="1" fontId="0" fillId="11" borderId="0" xfId="0" applyNumberFormat="1" applyFill="1" applyBorder="1" applyAlignment="1"/>
    <xf numFmtId="165" fontId="0" fillId="11" borderId="0" xfId="0" applyNumberFormat="1" applyFill="1" applyBorder="1" applyAlignment="1"/>
    <xf numFmtId="0" fontId="11" fillId="0" borderId="0" xfId="0" applyFont="1" applyFill="1" applyBorder="1" applyAlignment="1">
      <alignment vertical="top" wrapText="1"/>
    </xf>
    <xf numFmtId="0" fontId="0" fillId="6" borderId="1" xfId="0" applyFill="1" applyBorder="1" applyAlignment="1">
      <alignment horizontal="center"/>
    </xf>
    <xf numFmtId="0" fontId="12" fillId="6" borderId="1" xfId="0" applyFont="1" applyFill="1" applyBorder="1" applyAlignment="1">
      <alignment horizontal="center"/>
    </xf>
    <xf numFmtId="0" fontId="0" fillId="13" borderId="1" xfId="0" applyFill="1" applyBorder="1" applyAlignment="1">
      <alignment horizontal="center"/>
    </xf>
    <xf numFmtId="0" fontId="12" fillId="13" borderId="1" xfId="0" applyFont="1" applyFill="1" applyBorder="1" applyAlignment="1">
      <alignment horizontal="center"/>
    </xf>
    <xf numFmtId="0" fontId="16" fillId="5" borderId="1" xfId="0" applyFont="1" applyFill="1" applyBorder="1" applyAlignment="1">
      <alignment horizontal="center"/>
    </xf>
    <xf numFmtId="0" fontId="0" fillId="13" borderId="0" xfId="0" applyFill="1"/>
    <xf numFmtId="0" fontId="0" fillId="0" borderId="0" xfId="0" applyAlignment="1">
      <alignment horizontal="center"/>
    </xf>
    <xf numFmtId="167" fontId="0" fillId="0" borderId="1" xfId="0" applyNumberFormat="1" applyBorder="1" applyAlignment="1">
      <alignment horizontal="center"/>
    </xf>
    <xf numFmtId="167" fontId="0" fillId="13" borderId="1" xfId="0" applyNumberFormat="1" applyFill="1" applyBorder="1" applyAlignment="1">
      <alignment horizontal="center"/>
    </xf>
    <xf numFmtId="167" fontId="0" fillId="6" borderId="1" xfId="0" applyNumberFormat="1" applyFill="1" applyBorder="1" applyAlignment="1">
      <alignment horizontal="center"/>
    </xf>
    <xf numFmtId="0" fontId="0" fillId="0" borderId="10" xfId="0" applyBorder="1" applyAlignment="1"/>
    <xf numFmtId="0" fontId="0" fillId="0" borderId="0" xfId="0" applyBorder="1" applyAlignment="1"/>
    <xf numFmtId="0" fontId="16" fillId="15" borderId="1" xfId="0" applyFont="1" applyFill="1" applyBorder="1" applyAlignment="1">
      <alignment horizontal="center"/>
    </xf>
    <xf numFmtId="0" fontId="17" fillId="16" borderId="1" xfId="0" applyFont="1" applyFill="1" applyBorder="1" applyAlignment="1">
      <alignment horizontal="center"/>
    </xf>
    <xf numFmtId="0" fontId="0" fillId="0" borderId="1" xfId="0" pivotButton="1" applyBorder="1" applyAlignment="1">
      <alignment horizontal="center"/>
    </xf>
    <xf numFmtId="0" fontId="0" fillId="0" borderId="1" xfId="0" applyNumberFormat="1" applyBorder="1" applyAlignment="1">
      <alignment horizontal="center"/>
    </xf>
    <xf numFmtId="0" fontId="5" fillId="5" borderId="1" xfId="0" applyFont="1" applyFill="1" applyBorder="1" applyAlignment="1">
      <alignment horizontal="center" wrapText="1"/>
    </xf>
    <xf numFmtId="164" fontId="5" fillId="5" borderId="1" xfId="0" applyNumberFormat="1" applyFont="1" applyFill="1" applyBorder="1" applyAlignment="1">
      <alignment horizontal="center" wrapText="1"/>
    </xf>
    <xf numFmtId="1" fontId="5" fillId="5" borderId="1" xfId="0" applyNumberFormat="1" applyFont="1" applyFill="1" applyBorder="1" applyAlignment="1">
      <alignment horizontal="center" wrapText="1"/>
    </xf>
    <xf numFmtId="165" fontId="5" fillId="5" borderId="1" xfId="0" applyNumberFormat="1" applyFont="1" applyFill="1" applyBorder="1" applyAlignment="1">
      <alignment horizontal="center" wrapText="1"/>
    </xf>
    <xf numFmtId="165" fontId="5" fillId="5" borderId="15" xfId="0" applyNumberFormat="1" applyFont="1" applyFill="1" applyBorder="1" applyAlignment="1">
      <alignment horizontal="center" wrapText="1"/>
    </xf>
    <xf numFmtId="0" fontId="4" fillId="17" borderId="1" xfId="0" applyFont="1" applyFill="1" applyBorder="1" applyAlignment="1">
      <alignment horizontal="center" wrapText="1"/>
    </xf>
    <xf numFmtId="164" fontId="4" fillId="17" borderId="1" xfId="0" applyNumberFormat="1" applyFont="1" applyFill="1" applyBorder="1" applyAlignment="1">
      <alignment horizontal="center" wrapText="1"/>
    </xf>
    <xf numFmtId="1" fontId="4" fillId="17" borderId="1" xfId="0" applyNumberFormat="1" applyFont="1" applyFill="1" applyBorder="1" applyAlignment="1">
      <alignment horizontal="center" wrapText="1"/>
    </xf>
    <xf numFmtId="165" fontId="4" fillId="17" borderId="1" xfId="0" applyNumberFormat="1" applyFont="1" applyFill="1" applyBorder="1" applyAlignment="1">
      <alignment horizontal="center" wrapText="1"/>
    </xf>
    <xf numFmtId="0" fontId="4" fillId="18" borderId="1" xfId="0" applyFont="1" applyFill="1" applyBorder="1" applyAlignment="1">
      <alignment horizontal="center" wrapText="1"/>
    </xf>
    <xf numFmtId="164" fontId="4" fillId="18" borderId="1" xfId="0" applyNumberFormat="1" applyFont="1" applyFill="1" applyBorder="1" applyAlignment="1">
      <alignment horizontal="center" wrapText="1"/>
    </xf>
    <xf numFmtId="1" fontId="4" fillId="18" borderId="1" xfId="0" applyNumberFormat="1" applyFont="1" applyFill="1" applyBorder="1" applyAlignment="1">
      <alignment horizontal="center" wrapText="1"/>
    </xf>
    <xf numFmtId="165" fontId="4" fillId="18" borderId="1" xfId="0" applyNumberFormat="1" applyFont="1" applyFill="1" applyBorder="1" applyAlignment="1">
      <alignment horizontal="center" wrapText="1"/>
    </xf>
    <xf numFmtId="0" fontId="0" fillId="19" borderId="0" xfId="0" applyFill="1"/>
    <xf numFmtId="0" fontId="20" fillId="19" borderId="0" xfId="0" applyFont="1" applyFill="1"/>
    <xf numFmtId="0" fontId="0" fillId="0" borderId="16" xfId="0" pivotButton="1" applyBorder="1" applyAlignment="1">
      <alignment horizontal="center"/>
    </xf>
    <xf numFmtId="0" fontId="0" fillId="0" borderId="3" xfId="0" applyBorder="1" applyAlignment="1">
      <alignment horizontal="center"/>
    </xf>
    <xf numFmtId="0" fontId="0" fillId="0" borderId="16" xfId="0" applyBorder="1" applyAlignment="1">
      <alignment horizontal="center"/>
    </xf>
    <xf numFmtId="0" fontId="0" fillId="0" borderId="17" xfId="0" applyNumberFormat="1" applyBorder="1" applyAlignment="1">
      <alignment horizontal="center"/>
    </xf>
    <xf numFmtId="0" fontId="0" fillId="0" borderId="3" xfId="0" applyNumberFormat="1" applyBorder="1" applyAlignment="1">
      <alignment horizontal="center"/>
    </xf>
    <xf numFmtId="166" fontId="0" fillId="0" borderId="0" xfId="0" applyNumberFormat="1"/>
    <xf numFmtId="0" fontId="16" fillId="5" borderId="1" xfId="0" applyFont="1" applyFill="1" applyBorder="1" applyAlignment="1">
      <alignment horizontal="center"/>
    </xf>
    <xf numFmtId="0" fontId="0" fillId="5" borderId="1" xfId="0" applyFill="1" applyBorder="1" applyAlignment="1">
      <alignment horizontal="center"/>
    </xf>
    <xf numFmtId="0" fontId="15" fillId="6" borderId="1" xfId="0" applyFont="1" applyFill="1" applyBorder="1" applyAlignment="1">
      <alignment horizontal="center"/>
    </xf>
    <xf numFmtId="0" fontId="14" fillId="12" borderId="12" xfId="0" applyFont="1" applyFill="1" applyBorder="1" applyAlignment="1">
      <alignment horizontal="center" vertical="center"/>
    </xf>
    <xf numFmtId="0" fontId="14" fillId="12" borderId="10" xfId="0" applyFont="1" applyFill="1" applyBorder="1" applyAlignment="1">
      <alignment horizontal="center" vertical="center"/>
    </xf>
    <xf numFmtId="0" fontId="14" fillId="12" borderId="11" xfId="0" applyFont="1" applyFill="1" applyBorder="1" applyAlignment="1">
      <alignment horizontal="center" vertical="center"/>
    </xf>
    <xf numFmtId="0" fontId="14" fillId="12" borderId="4" xfId="0" applyFont="1" applyFill="1" applyBorder="1" applyAlignment="1">
      <alignment horizontal="center" vertical="center"/>
    </xf>
    <xf numFmtId="0" fontId="14" fillId="12" borderId="6" xfId="0" applyFont="1" applyFill="1" applyBorder="1" applyAlignment="1">
      <alignment horizontal="center" vertical="center"/>
    </xf>
    <xf numFmtId="0" fontId="14" fillId="12" borderId="2" xfId="0" applyFont="1" applyFill="1" applyBorder="1" applyAlignment="1">
      <alignment horizontal="center" vertical="center"/>
    </xf>
    <xf numFmtId="0" fontId="13" fillId="6" borderId="13" xfId="0" applyFont="1" applyFill="1" applyBorder="1" applyAlignment="1">
      <alignment horizontal="center"/>
    </xf>
    <xf numFmtId="0" fontId="13" fillId="6" borderId="9" xfId="0" applyFont="1" applyFill="1" applyBorder="1" applyAlignment="1">
      <alignment horizontal="center"/>
    </xf>
    <xf numFmtId="0" fontId="13" fillId="6" borderId="14" xfId="0" applyFont="1" applyFill="1" applyBorder="1" applyAlignment="1">
      <alignment horizontal="center"/>
    </xf>
    <xf numFmtId="0" fontId="18" fillId="14" borderId="1" xfId="0" applyFont="1" applyFill="1" applyBorder="1" applyAlignment="1">
      <alignment horizontal="center" vertical="center"/>
    </xf>
    <xf numFmtId="0" fontId="18" fillId="5" borderId="12" xfId="0" applyFont="1" applyFill="1" applyBorder="1" applyAlignment="1">
      <alignment horizontal="center" vertical="center"/>
    </xf>
    <xf numFmtId="0" fontId="18" fillId="5" borderId="10" xfId="0" applyFont="1" applyFill="1" applyBorder="1" applyAlignment="1">
      <alignment horizontal="center" vertical="center"/>
    </xf>
    <xf numFmtId="0" fontId="18" fillId="5" borderId="11"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6" xfId="0" applyFont="1" applyFill="1" applyBorder="1" applyAlignment="1">
      <alignment horizontal="center" vertical="center"/>
    </xf>
    <xf numFmtId="0" fontId="18" fillId="5" borderId="2" xfId="0" applyFont="1" applyFill="1" applyBorder="1" applyAlignment="1">
      <alignment horizontal="center" vertical="center"/>
    </xf>
    <xf numFmtId="0" fontId="18" fillId="5"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wrapText="1"/>
    </xf>
    <xf numFmtId="0" fontId="16" fillId="5" borderId="1" xfId="0" applyFont="1" applyFill="1" applyBorder="1" applyAlignment="1">
      <alignment horizontal="center" vertical="center" wrapText="1"/>
    </xf>
    <xf numFmtId="0" fontId="0" fillId="5" borderId="1" xfId="0" applyFill="1" applyBorder="1"/>
  </cellXfs>
  <cellStyles count="4">
    <cellStyle name="Bad" xfId="2" builtinId="27"/>
    <cellStyle name="Good" xfId="1" builtinId="26"/>
    <cellStyle name="Neutral" xfId="3" builtinId="28"/>
    <cellStyle name="Normal" xfId="0" builtinId="0"/>
  </cellStyles>
  <dxfs count="75">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164" formatCode="yyyy\-mm\-dd;@"/>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27" formatCode="m/d/yyyy\ h:mm"/>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19" formatCode="m/d/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0" formatCode="Genera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165" formatCode="&quot;$&quot;#,##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164" formatCode="yyyy\-mm\-dd;@"/>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165" formatCode="&quot;$&quot;#,##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1" formatCode="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numFmt numFmtId="164" formatCode="yyyy\-mm\-dd;@"/>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Calibri"/>
        <family val="2"/>
        <scheme val="none"/>
      </font>
      <fill>
        <patternFill patternType="solid">
          <fgColor indexed="64"/>
          <bgColor rgb="FFFFFF00"/>
        </patternFill>
      </fill>
      <alignment horizontal="center" vertical="bottom" textRotation="0" wrapText="1"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720F35"/>
        </patternFill>
      </fill>
    </dxf>
    <dxf>
      <font>
        <b/>
        <i val="0"/>
        <sz val="14"/>
        <color theme="0"/>
      </font>
      <fill>
        <patternFill>
          <bgColor rgb="FF5B001E"/>
        </patternFill>
      </fill>
    </dxf>
    <dxf>
      <font>
        <color theme="0"/>
      </font>
      <fill>
        <patternFill>
          <bgColor rgb="FF720F35"/>
        </patternFill>
      </fill>
    </dxf>
    <dxf>
      <font>
        <b/>
        <i val="0"/>
        <sz val="14"/>
        <color theme="0"/>
      </font>
      <fill>
        <patternFill patternType="solid">
          <bgColor rgb="FF5B001E"/>
        </patternFill>
      </fill>
      <border diagonalUp="0">
        <left style="thin">
          <color auto="1"/>
        </left>
        <right style="thin">
          <color auto="1"/>
        </right>
        <top style="thin">
          <color auto="1"/>
        </top>
        <bottom style="thin">
          <color auto="1"/>
        </bottom>
      </border>
    </dxf>
    <dxf>
      <font>
        <color theme="0"/>
      </font>
      <fill>
        <patternFill>
          <bgColor rgb="FF5B001E"/>
        </patternFill>
      </fill>
    </dxf>
    <dxf>
      <font>
        <b/>
        <i val="0"/>
        <sz val="14"/>
        <color theme="0"/>
      </font>
      <fill>
        <patternFill patternType="solid">
          <bgColor rgb="FFF8F8F8"/>
        </patternFill>
      </fill>
      <border diagonalUp="0">
        <left style="thin">
          <color auto="1"/>
        </left>
        <right style="thin">
          <color auto="1"/>
        </right>
        <top style="thin">
          <color auto="1"/>
        </top>
        <bottom style="thin">
          <color auto="1"/>
        </bottom>
      </border>
    </dxf>
  </dxfs>
  <tableStyles count="4" defaultTableStyle="TableStyleMedium2" defaultPivotStyle="PivotStyleLight16">
    <tableStyle name="Burgundy Dashboard Style" pivot="0" table="0" count="4" xr9:uid="{6478478A-9F31-4CBC-AE0A-2E4A753CD45E}">
      <tableStyleElement type="wholeTable" dxfId="74"/>
      <tableStyleElement type="headerRow" dxfId="73"/>
    </tableStyle>
    <tableStyle name="Burgundy Dashboard Style 2" pivot="0" table="0" count="1" xr9:uid="{441AB3B3-95B1-433A-BE55-189A8410C31C}"/>
    <tableStyle name="Burgundy Dashboard Style 3" pivot="0" table="0" count="4" xr9:uid="{577AC45E-9A31-4E53-A18A-C71B1462B343}">
      <tableStyleElement type="wholeTable" dxfId="72"/>
      <tableStyleElement type="headerRow" dxfId="71"/>
    </tableStyle>
    <tableStyle name="Slicer Style 1" pivot="0" table="0" count="3" xr9:uid="{BD4B09B7-64F0-4EE8-A320-3F2A6135473D}">
      <tableStyleElement type="wholeTable" dxfId="70"/>
      <tableStyleElement type="headerRow" dxfId="69"/>
    </tableStyle>
  </tableStyles>
  <colors>
    <mruColors>
      <color rgb="FFBA5C7C"/>
      <color rgb="FF720F35"/>
      <color rgb="FF4A4A4A"/>
      <color rgb="FF4A0018"/>
      <color rgb="FF5B001E"/>
      <color rgb="FFBC5C7C"/>
      <color rgb="FFF8F8F8"/>
      <color rgb="FF5C001E"/>
      <color rgb="FF670E2E"/>
      <color rgb="FF8C1642"/>
    </mruColors>
  </colors>
  <extLst>
    <ext xmlns:x14="http://schemas.microsoft.com/office/spreadsheetml/2009/9/main" uri="{46F421CA-312F-682f-3DD2-61675219B42D}">
      <x14:dxfs count="6">
        <dxf>
          <fill>
            <patternFill>
              <bgColor rgb="FF720F35"/>
            </patternFill>
          </fill>
        </dxf>
        <dxf>
          <fill>
            <patternFill>
              <bgColor rgb="FF720F35"/>
            </patternFill>
          </fill>
        </dxf>
        <dxf>
          <font>
            <color theme="0"/>
          </font>
          <fill>
            <patternFill>
              <bgColor rgb="FF720F35"/>
            </patternFill>
          </fill>
          <border diagonalUp="1">
            <top style="thin">
              <color auto="1"/>
            </top>
            <diagonal style="thin">
              <color auto="1"/>
            </diagonal>
          </border>
        </dxf>
        <dxf>
          <fill>
            <patternFill>
              <bgColor rgb="FF720F35"/>
            </patternFill>
          </fill>
        </dxf>
        <dxf>
          <fill>
            <patternFill>
              <bgColor rgb="FF720F35"/>
            </patternFill>
          </fill>
        </dxf>
        <dxf>
          <font>
            <color theme="0"/>
          </font>
          <fill>
            <patternFill>
              <bgColor rgb="FF720F35"/>
            </patternFill>
          </fill>
          <border diagonalUp="1">
            <diagonal style="thin">
              <color auto="1"/>
            </diagonal>
          </border>
        </dxf>
      </x14:dxfs>
    </ext>
    <ext xmlns:x14="http://schemas.microsoft.com/office/spreadsheetml/2009/9/main" uri="{EB79DEF2-80B8-43e5-95BD-54CBDDF9020C}">
      <x14:slicerStyles defaultSlicerStyle="SlicerStyleLight1">
        <x14:slicerStyle name="Burgundy Dashboard Style">
          <x14:slicerStyleElements>
            <x14:slicerStyleElement type="unselectedItemWithData" dxfId="5"/>
            <x14:slicerStyleElement type="selectedItemWithData" dxfId="4"/>
          </x14:slicerStyleElements>
        </x14:slicerStyle>
        <x14:slicerStyle name="Burgundy Dashboard Style 2">
          <x14:slicerStyleElements>
            <x14:slicerStyleElement type="unselectedItemWithData" dxfId="3"/>
          </x14:slicerStyleElements>
        </x14:slicerStyle>
        <x14:slicerStyle name="Burgundy Dashboard Style 3">
          <x14:slicerStyleElements>
            <x14:slicerStyleElement type="unselectedItemWithData" dxfId="2"/>
            <x14:slicerStyleElement type="selectedItemWithData" dxfId="1"/>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Dashboard.xlsx]PIVOT_TABLES!PivotTable1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REGIONAL SALES</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A5C7C"/>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5C7C"/>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A5C7C"/>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rgbClr val="BA5C7C"/>
            </a:solidFill>
            <a:ln>
              <a:noFill/>
            </a:ln>
            <a:effectLst/>
          </c:spPr>
          <c:invertIfNegative val="0"/>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PIVOT_TABLES!$A$4:$A$9</c:f>
              <c:strCache>
                <c:ptCount val="5"/>
                <c:pt idx="0">
                  <c:v>Central</c:v>
                </c:pt>
                <c:pt idx="1">
                  <c:v>East</c:v>
                </c:pt>
                <c:pt idx="2">
                  <c:v>North</c:v>
                </c:pt>
                <c:pt idx="3">
                  <c:v>South</c:v>
                </c:pt>
                <c:pt idx="4">
                  <c:v>West</c:v>
                </c:pt>
              </c:strCache>
            </c:strRef>
          </c:cat>
          <c:val>
            <c:numRef>
              <c:f>PIVOT_TABLES!$B$4:$B$9</c:f>
              <c:numCache>
                <c:formatCode>General</c:formatCode>
                <c:ptCount val="5"/>
                <c:pt idx="0">
                  <c:v>41538.370000000017</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FF5E-4A49-8B5D-74AEA4B72C38}"/>
            </c:ext>
          </c:extLst>
        </c:ser>
        <c:dLbls>
          <c:dLblPos val="outEnd"/>
          <c:showLegendKey val="0"/>
          <c:showVal val="1"/>
          <c:showCatName val="0"/>
          <c:showSerName val="0"/>
          <c:showPercent val="0"/>
          <c:showBubbleSize val="0"/>
        </c:dLbls>
        <c:gapWidth val="219"/>
        <c:overlap val="-27"/>
        <c:axId val="1321950863"/>
        <c:axId val="1321951823"/>
      </c:barChart>
      <c:catAx>
        <c:axId val="1321950863"/>
        <c:scaling>
          <c:orientation val="minMax"/>
        </c:scaling>
        <c:delete val="0"/>
        <c:axPos val="b"/>
        <c:numFmt formatCode="General" sourceLinked="1"/>
        <c:majorTickMark val="none"/>
        <c:minorTickMark val="none"/>
        <c:tickLblPos val="nextTo"/>
        <c:spPr>
          <a:noFill/>
          <a:ln w="9525" cap="flat" cmpd="sng" algn="ctr">
            <a:solidFill>
              <a:srgbClr val="BA5C7C"/>
            </a:solidFill>
            <a:round/>
          </a:ln>
          <a:effectLst/>
        </c:spPr>
        <c:txPr>
          <a:bodyPr rot="-2700000" spcFirstLastPara="1" vertOverflow="ellipsis" wrap="square" anchor="ctr" anchorCtr="1"/>
          <a:lstStyle/>
          <a:p>
            <a:pPr>
              <a:defRPr sz="900" b="1" i="0" u="none" strike="noStrike" kern="1200" baseline="0">
                <a:solidFill>
                  <a:schemeClr val="bg1"/>
                </a:solidFill>
                <a:latin typeface="+mn-lt"/>
                <a:ea typeface="+mn-ea"/>
                <a:cs typeface="+mn-cs"/>
              </a:defRPr>
            </a:pPr>
            <a:endParaRPr lang="en-US"/>
          </a:p>
        </c:txPr>
        <c:crossAx val="1321951823"/>
        <c:crosses val="autoZero"/>
        <c:auto val="1"/>
        <c:lblAlgn val="ctr"/>
        <c:lblOffset val="100"/>
        <c:noMultiLvlLbl val="0"/>
      </c:catAx>
      <c:valAx>
        <c:axId val="1321951823"/>
        <c:scaling>
          <c:orientation val="minMax"/>
        </c:scaling>
        <c:delete val="1"/>
        <c:axPos val="l"/>
        <c:numFmt formatCode="General" sourceLinked="1"/>
        <c:majorTickMark val="none"/>
        <c:minorTickMark val="none"/>
        <c:tickLblPos val="nextTo"/>
        <c:crossAx val="132195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70E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Dashboard.xlsx]PIVOT_TABLES!PivotTable5</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PRODUCT SALES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PIVOT_TABLES!$B$12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9D-473A-9B87-E2D71E907E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9D-473A-9B87-E2D71E907E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9D-473A-9B87-E2D71E907E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9D-473A-9B87-E2D71E907E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9D-473A-9B87-E2D71E907E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99D-473A-9B87-E2D71E907EA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99D-473A-9B87-E2D71E907EA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99D-473A-9B87-E2D71E907EA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99D-473A-9B87-E2D71E907EA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99D-473A-9B87-E2D71E907EAD}"/>
              </c:ext>
            </c:extLst>
          </c:dPt>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PIVOT_TABLES!$A$13:$A$23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PIVOT_TABLES!$B$13:$B$23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22249.15</c:v>
                </c:pt>
                <c:pt idx="8">
                  <c:v>10399.479999999998</c:v>
                </c:pt>
                <c:pt idx="9">
                  <c:v>67199.039999999994</c:v>
                </c:pt>
              </c:numCache>
            </c:numRef>
          </c:val>
          <c:extLst>
            <c:ext xmlns:c16="http://schemas.microsoft.com/office/drawing/2014/chart" uri="{C3380CC4-5D6E-409C-BE32-E72D297353CC}">
              <c16:uniqueId val="{00000014-099D-473A-9B87-E2D71E907EAD}"/>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70E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Dashboard.xlsx]PIVOT_TABLES!PivotTable8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a:t>
            </a:r>
            <a:r>
              <a:rPr lang="en-US" b="1" baseline="0">
                <a:solidFill>
                  <a:schemeClr val="bg1"/>
                </a:solidFill>
              </a:rPr>
              <a:t> SALES PER MONTHS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BA5C7C"/>
            </a:solidFill>
            <a:round/>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8575" cap="rnd">
            <a:solidFill>
              <a:srgbClr val="BA5C7C"/>
            </a:solidFill>
            <a:round/>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BA5C7C"/>
            </a:solidFill>
            <a:round/>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PIVOT_TABLES!$B$26</c:f>
              <c:strCache>
                <c:ptCount val="1"/>
                <c:pt idx="0">
                  <c:v>Total</c:v>
                </c:pt>
              </c:strCache>
            </c:strRef>
          </c:tx>
          <c:spPr>
            <a:ln w="28575" cap="rnd">
              <a:solidFill>
                <a:srgbClr val="BA5C7C"/>
              </a:solidFill>
              <a:round/>
            </a:ln>
            <a:effectLst/>
          </c:spPr>
          <c:marker>
            <c:symbol val="none"/>
          </c:marker>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PIVOT_TABLES!$B$27:$B$39</c:f>
              <c:numCache>
                <c:formatCode>General</c:formatCode>
                <c:ptCount val="12"/>
                <c:pt idx="0">
                  <c:v>25799.15</c:v>
                </c:pt>
                <c:pt idx="1">
                  <c:v>16069.380000000001</c:v>
                </c:pt>
                <c:pt idx="2">
                  <c:v>19899.379999999997</c:v>
                </c:pt>
                <c:pt idx="3">
                  <c:v>28149.190000000006</c:v>
                </c:pt>
                <c:pt idx="4">
                  <c:v>17039.349999999999</c:v>
                </c:pt>
                <c:pt idx="5">
                  <c:v>19299.45</c:v>
                </c:pt>
                <c:pt idx="6">
                  <c:v>18479.399999999994</c:v>
                </c:pt>
                <c:pt idx="7">
                  <c:v>15759.429999999997</c:v>
                </c:pt>
                <c:pt idx="8">
                  <c:v>12989.509999999998</c:v>
                </c:pt>
                <c:pt idx="9">
                  <c:v>20609.52</c:v>
                </c:pt>
                <c:pt idx="10">
                  <c:v>12309.439999999999</c:v>
                </c:pt>
                <c:pt idx="11">
                  <c:v>23039.3</c:v>
                </c:pt>
              </c:numCache>
            </c:numRef>
          </c:val>
          <c:smooth val="0"/>
          <c:extLst>
            <c:ext xmlns:c16="http://schemas.microsoft.com/office/drawing/2014/chart" uri="{C3380CC4-5D6E-409C-BE32-E72D297353CC}">
              <c16:uniqueId val="{00000000-7E18-4005-8488-6428F4C1A37A}"/>
            </c:ext>
          </c:extLst>
        </c:ser>
        <c:dLbls>
          <c:dLblPos val="t"/>
          <c:showLegendKey val="0"/>
          <c:showVal val="1"/>
          <c:showCatName val="0"/>
          <c:showSerName val="0"/>
          <c:showPercent val="0"/>
          <c:showBubbleSize val="0"/>
        </c:dLbls>
        <c:smooth val="0"/>
        <c:axId val="937108703"/>
        <c:axId val="937109183"/>
      </c:lineChart>
      <c:catAx>
        <c:axId val="937108703"/>
        <c:scaling>
          <c:orientation val="minMax"/>
        </c:scaling>
        <c:delete val="0"/>
        <c:axPos val="b"/>
        <c:numFmt formatCode="General" sourceLinked="1"/>
        <c:majorTickMark val="none"/>
        <c:minorTickMark val="none"/>
        <c:tickLblPos val="nextTo"/>
        <c:spPr>
          <a:solidFill>
            <a:srgbClr val="670E2E"/>
          </a:solidFill>
          <a:ln w="9525" cap="flat" cmpd="sng" algn="ctr">
            <a:solidFill>
              <a:srgbClr val="BA5C7C"/>
            </a:solidFill>
            <a:round/>
          </a:ln>
          <a:effectLst/>
        </c:spPr>
        <c:txPr>
          <a:bodyPr rot="-2400000" spcFirstLastPara="1" vertOverflow="ellipsis" wrap="square" anchor="ctr" anchorCtr="1"/>
          <a:lstStyle/>
          <a:p>
            <a:pPr>
              <a:defRPr sz="1050" b="1" i="0" u="none" strike="noStrike" kern="1200" baseline="0">
                <a:solidFill>
                  <a:schemeClr val="bg1"/>
                </a:solidFill>
                <a:latin typeface="+mn-lt"/>
                <a:ea typeface="+mn-ea"/>
                <a:cs typeface="+mn-cs"/>
              </a:defRPr>
            </a:pPr>
            <a:endParaRPr lang="en-US"/>
          </a:p>
        </c:txPr>
        <c:crossAx val="937109183"/>
        <c:crosses val="autoZero"/>
        <c:auto val="1"/>
        <c:lblAlgn val="ctr"/>
        <c:lblOffset val="100"/>
        <c:noMultiLvlLbl val="0"/>
      </c:catAx>
      <c:valAx>
        <c:axId val="937109183"/>
        <c:scaling>
          <c:orientation val="minMax"/>
        </c:scaling>
        <c:delete val="1"/>
        <c:axPos val="l"/>
        <c:numFmt formatCode="General" sourceLinked="1"/>
        <c:majorTickMark val="none"/>
        <c:minorTickMark val="none"/>
        <c:tickLblPos val="nextTo"/>
        <c:crossAx val="93710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70E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Dashboard.xlsx]TOTAL SALES PER WEEK!PivotTable1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TOTAL SALES PER WEEK</a:t>
            </a:r>
            <a:endParaRPr lang="en-US" sz="1400" b="1">
              <a:solidFill>
                <a:schemeClr val="bg1"/>
              </a:solidFill>
            </a:endParaRPr>
          </a:p>
        </c:rich>
      </c:tx>
      <c:layout>
        <c:manualLayout>
          <c:xMode val="edge"/>
          <c:yMode val="edge"/>
          <c:x val="0.31280560043080236"/>
          <c:y val="4.1343680466521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A5C7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BA5C7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BA5C7C"/>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BC5C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PER WEEK'!$B$3</c:f>
              <c:strCache>
                <c:ptCount val="1"/>
                <c:pt idx="0">
                  <c:v>Total</c:v>
                </c:pt>
              </c:strCache>
            </c:strRef>
          </c:tx>
          <c:spPr>
            <a:solidFill>
              <a:srgbClr val="BC5C7C"/>
            </a:solidFill>
            <a:ln>
              <a:noFill/>
            </a:ln>
            <a:effectLst/>
          </c:spPr>
          <c:invertIfNegative val="0"/>
          <c:cat>
            <c:strRef>
              <c:f>'TOTAL SALES PER WEEK'!$A$4:$A$57</c:f>
              <c:strCache>
                <c:ptCount val="53"/>
                <c:pt idx="0">
                  <c:v>4/11/2024 - 4/17/2024</c:v>
                </c:pt>
                <c:pt idx="1">
                  <c:v>4/18/2024 - 4/24/2024</c:v>
                </c:pt>
                <c:pt idx="2">
                  <c:v>4/25/2024 - 5/1/2024</c:v>
                </c:pt>
                <c:pt idx="3">
                  <c:v>5/2/2024 - 5/8/2024</c:v>
                </c:pt>
                <c:pt idx="4">
                  <c:v>5/9/2024 - 5/15/2024</c:v>
                </c:pt>
                <c:pt idx="5">
                  <c:v>5/16/2024 - 5/22/2024</c:v>
                </c:pt>
                <c:pt idx="6">
                  <c:v>5/23/2024 - 5/29/2024</c:v>
                </c:pt>
                <c:pt idx="7">
                  <c:v>5/30/2024 - 6/5/2024</c:v>
                </c:pt>
                <c:pt idx="8">
                  <c:v>6/6/2024 - 6/12/2024</c:v>
                </c:pt>
                <c:pt idx="9">
                  <c:v>6/13/2024 - 6/19/2024</c:v>
                </c:pt>
                <c:pt idx="10">
                  <c:v>6/20/2024 - 6/26/2024</c:v>
                </c:pt>
                <c:pt idx="11">
                  <c:v>6/27/2024 - 7/3/2024</c:v>
                </c:pt>
                <c:pt idx="12">
                  <c:v>7/4/2024 - 7/10/2024</c:v>
                </c:pt>
                <c:pt idx="13">
                  <c:v>7/11/2024 - 7/17/2024</c:v>
                </c:pt>
                <c:pt idx="14">
                  <c:v>7/18/2024 - 7/24/2024</c:v>
                </c:pt>
                <c:pt idx="15">
                  <c:v>7/25/2024 - 7/31/2024</c:v>
                </c:pt>
                <c:pt idx="16">
                  <c:v>8/1/2024 - 8/7/2024</c:v>
                </c:pt>
                <c:pt idx="17">
                  <c:v>8/8/2024 - 8/14/2024</c:v>
                </c:pt>
                <c:pt idx="18">
                  <c:v>8/15/2024 - 8/21/2024</c:v>
                </c:pt>
                <c:pt idx="19">
                  <c:v>8/22/2024 - 8/28/2024</c:v>
                </c:pt>
                <c:pt idx="20">
                  <c:v>8/29/2024 - 9/4/2024</c:v>
                </c:pt>
                <c:pt idx="21">
                  <c:v>9/5/2024 - 9/11/2024</c:v>
                </c:pt>
                <c:pt idx="22">
                  <c:v>9/12/2024 - 9/18/2024</c:v>
                </c:pt>
                <c:pt idx="23">
                  <c:v>9/19/2024 - 9/25/2024</c:v>
                </c:pt>
                <c:pt idx="24">
                  <c:v>9/26/2024 - 10/2/2024</c:v>
                </c:pt>
                <c:pt idx="25">
                  <c:v>10/3/2024 - 10/9/2024</c:v>
                </c:pt>
                <c:pt idx="26">
                  <c:v>10/10/2024 - 10/16/2024</c:v>
                </c:pt>
                <c:pt idx="27">
                  <c:v>10/17/2024 - 10/23/2024</c:v>
                </c:pt>
                <c:pt idx="28">
                  <c:v>10/24/2024 - 10/30/2024</c:v>
                </c:pt>
                <c:pt idx="29">
                  <c:v>10/31/2024 - 11/6/2024</c:v>
                </c:pt>
                <c:pt idx="30">
                  <c:v>11/7/2024 - 11/13/2024</c:v>
                </c:pt>
                <c:pt idx="31">
                  <c:v>11/14/2024 - 11/20/2024</c:v>
                </c:pt>
                <c:pt idx="32">
                  <c:v>11/21/2024 - 11/27/2024</c:v>
                </c:pt>
                <c:pt idx="33">
                  <c:v>11/28/2024 - 12/4/2024</c:v>
                </c:pt>
                <c:pt idx="34">
                  <c:v>12/5/2024 - 12/11/2024</c:v>
                </c:pt>
                <c:pt idx="35">
                  <c:v>12/12/2024 - 12/18/2024</c:v>
                </c:pt>
                <c:pt idx="36">
                  <c:v>12/19/2024 - 12/25/2024</c:v>
                </c:pt>
                <c:pt idx="37">
                  <c:v>12/26/2024 - 1/1/2025</c:v>
                </c:pt>
                <c:pt idx="38">
                  <c:v>1/2/2025 - 1/8/2025</c:v>
                </c:pt>
                <c:pt idx="39">
                  <c:v>1/9/2025 - 1/15/2025</c:v>
                </c:pt>
                <c:pt idx="40">
                  <c:v>1/16/2025 - 1/22/2025</c:v>
                </c:pt>
                <c:pt idx="41">
                  <c:v>1/23/2025 - 1/29/2025</c:v>
                </c:pt>
                <c:pt idx="42">
                  <c:v>1/30/2025 - 2/5/2025</c:v>
                </c:pt>
                <c:pt idx="43">
                  <c:v>2/6/2025 - 2/12/2025</c:v>
                </c:pt>
                <c:pt idx="44">
                  <c:v>2/13/2025 - 2/19/2025</c:v>
                </c:pt>
                <c:pt idx="45">
                  <c:v>2/20/2025 - 2/26/2025</c:v>
                </c:pt>
                <c:pt idx="46">
                  <c:v>2/27/2025 - 3/5/2025</c:v>
                </c:pt>
                <c:pt idx="47">
                  <c:v>3/6/2025 - 3/12/2025</c:v>
                </c:pt>
                <c:pt idx="48">
                  <c:v>3/13/2025 - 3/19/2025</c:v>
                </c:pt>
                <c:pt idx="49">
                  <c:v>3/20/2025 - 3/26/2025</c:v>
                </c:pt>
                <c:pt idx="50">
                  <c:v>3/27/2025 - 4/2/2025</c:v>
                </c:pt>
                <c:pt idx="51">
                  <c:v>4/3/2025 - 4/9/2025</c:v>
                </c:pt>
                <c:pt idx="52">
                  <c:v>4/10/2025 - 4/12/2025</c:v>
                </c:pt>
              </c:strCache>
            </c:strRef>
          </c:cat>
          <c:val>
            <c:numRef>
              <c:f>'TOTAL SALES PER WEEK'!$B$4:$B$57</c:f>
              <c:numCache>
                <c:formatCode>General</c:formatCode>
                <c:ptCount val="53"/>
                <c:pt idx="0">
                  <c:v>1929.94</c:v>
                </c:pt>
                <c:pt idx="1">
                  <c:v>4679.7900000000009</c:v>
                </c:pt>
                <c:pt idx="2">
                  <c:v>17359.589999999997</c:v>
                </c:pt>
                <c:pt idx="3">
                  <c:v>2199.92</c:v>
                </c:pt>
                <c:pt idx="4">
                  <c:v>4799.71</c:v>
                </c:pt>
                <c:pt idx="5">
                  <c:v>2549.91</c:v>
                </c:pt>
                <c:pt idx="6">
                  <c:v>4609.8599999999997</c:v>
                </c:pt>
                <c:pt idx="7">
                  <c:v>739.91</c:v>
                </c:pt>
                <c:pt idx="8">
                  <c:v>1879.88</c:v>
                </c:pt>
                <c:pt idx="9">
                  <c:v>10289.799999999999</c:v>
                </c:pt>
                <c:pt idx="10">
                  <c:v>619.92999999999995</c:v>
                </c:pt>
                <c:pt idx="11">
                  <c:v>6609.829999999999</c:v>
                </c:pt>
                <c:pt idx="12">
                  <c:v>2239.88</c:v>
                </c:pt>
                <c:pt idx="13">
                  <c:v>1479.9</c:v>
                </c:pt>
                <c:pt idx="14">
                  <c:v>5999.91</c:v>
                </c:pt>
                <c:pt idx="15">
                  <c:v>7999.8</c:v>
                </c:pt>
                <c:pt idx="16">
                  <c:v>599.96</c:v>
                </c:pt>
                <c:pt idx="17">
                  <c:v>4989.7800000000007</c:v>
                </c:pt>
                <c:pt idx="18">
                  <c:v>6129.85</c:v>
                </c:pt>
                <c:pt idx="19">
                  <c:v>2639.8600000000006</c:v>
                </c:pt>
                <c:pt idx="20">
                  <c:v>3299.94</c:v>
                </c:pt>
                <c:pt idx="21">
                  <c:v>759.89</c:v>
                </c:pt>
                <c:pt idx="22">
                  <c:v>2979.8500000000004</c:v>
                </c:pt>
                <c:pt idx="23">
                  <c:v>6549.8400000000011</c:v>
                </c:pt>
                <c:pt idx="24">
                  <c:v>1999.93</c:v>
                </c:pt>
                <c:pt idx="25">
                  <c:v>2569.8900000000003</c:v>
                </c:pt>
                <c:pt idx="26">
                  <c:v>10799.84</c:v>
                </c:pt>
                <c:pt idx="27">
                  <c:v>2269.91</c:v>
                </c:pt>
                <c:pt idx="28">
                  <c:v>3769.9199999999996</c:v>
                </c:pt>
                <c:pt idx="29">
                  <c:v>2149.92</c:v>
                </c:pt>
                <c:pt idx="30">
                  <c:v>3499.7400000000002</c:v>
                </c:pt>
                <c:pt idx="31">
                  <c:v>2149.9300000000003</c:v>
                </c:pt>
                <c:pt idx="32">
                  <c:v>4509.8500000000004</c:v>
                </c:pt>
                <c:pt idx="33">
                  <c:v>9749.77</c:v>
                </c:pt>
                <c:pt idx="34">
                  <c:v>1239.8800000000001</c:v>
                </c:pt>
                <c:pt idx="35">
                  <c:v>2669.93</c:v>
                </c:pt>
                <c:pt idx="36">
                  <c:v>6239.85</c:v>
                </c:pt>
                <c:pt idx="37">
                  <c:v>3139.87</c:v>
                </c:pt>
                <c:pt idx="38">
                  <c:v>2729.8900000000003</c:v>
                </c:pt>
                <c:pt idx="39">
                  <c:v>9629.6899999999987</c:v>
                </c:pt>
                <c:pt idx="40">
                  <c:v>3049.83</c:v>
                </c:pt>
                <c:pt idx="41">
                  <c:v>7139.83</c:v>
                </c:pt>
                <c:pt idx="42">
                  <c:v>3309.8999999999996</c:v>
                </c:pt>
                <c:pt idx="43">
                  <c:v>2249.87</c:v>
                </c:pt>
                <c:pt idx="44">
                  <c:v>5269.8200000000006</c:v>
                </c:pt>
                <c:pt idx="45">
                  <c:v>7649.76</c:v>
                </c:pt>
                <c:pt idx="46">
                  <c:v>4939.82</c:v>
                </c:pt>
                <c:pt idx="47">
                  <c:v>7079.8099999999995</c:v>
                </c:pt>
                <c:pt idx="48">
                  <c:v>119.98</c:v>
                </c:pt>
                <c:pt idx="49">
                  <c:v>7199.85</c:v>
                </c:pt>
                <c:pt idx="50">
                  <c:v>5499.81</c:v>
                </c:pt>
                <c:pt idx="51">
                  <c:v>329.96</c:v>
                </c:pt>
                <c:pt idx="52">
                  <c:v>2549.92</c:v>
                </c:pt>
              </c:numCache>
            </c:numRef>
          </c:val>
          <c:extLst>
            <c:ext xmlns:c16="http://schemas.microsoft.com/office/drawing/2014/chart" uri="{C3380CC4-5D6E-409C-BE32-E72D297353CC}">
              <c16:uniqueId val="{00000000-FBDB-4DAE-8D71-E03856434D90}"/>
            </c:ext>
          </c:extLst>
        </c:ser>
        <c:dLbls>
          <c:showLegendKey val="0"/>
          <c:showVal val="0"/>
          <c:showCatName val="0"/>
          <c:showSerName val="0"/>
          <c:showPercent val="0"/>
          <c:showBubbleSize val="0"/>
        </c:dLbls>
        <c:gapWidth val="50"/>
        <c:overlap val="40"/>
        <c:axId val="49075664"/>
        <c:axId val="49067984"/>
      </c:barChart>
      <c:catAx>
        <c:axId val="49075664"/>
        <c:scaling>
          <c:orientation val="minMax"/>
        </c:scaling>
        <c:delete val="0"/>
        <c:axPos val="b"/>
        <c:numFmt formatCode="General" sourceLinked="1"/>
        <c:majorTickMark val="none"/>
        <c:minorTickMark val="none"/>
        <c:tickLblPos val="nextTo"/>
        <c:spPr>
          <a:noFill/>
          <a:ln w="9525" cap="flat" cmpd="sng" algn="ctr">
            <a:solidFill>
              <a:srgbClr val="BA5C7C"/>
            </a:solidFill>
            <a:round/>
          </a:ln>
          <a:effectLst/>
        </c:spPr>
        <c:txPr>
          <a:bodyPr rot="2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49067984"/>
        <c:crosses val="autoZero"/>
        <c:auto val="1"/>
        <c:lblAlgn val="ctr"/>
        <c:lblOffset val="100"/>
        <c:tickLblSkip val="5"/>
        <c:noMultiLvlLbl val="0"/>
      </c:catAx>
      <c:valAx>
        <c:axId val="4906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9075664"/>
        <c:crosses val="autoZero"/>
        <c:crossBetween val="between"/>
      </c:valAx>
      <c:spPr>
        <a:solidFill>
          <a:srgbClr val="670E2E"/>
        </a:solidFill>
        <a:ln>
          <a:solidFill>
            <a:srgbClr val="670E2E"/>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70E2E"/>
    </a:solidFill>
    <a:ln w="9525" cap="flat" cmpd="sng" algn="ctr">
      <a:solidFill>
        <a:srgbClr val="670E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REGIONAL SALES</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A5C7C"/>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rgbClr val="BA5C7C"/>
            </a:solidFill>
            <a:ln>
              <a:noFill/>
            </a:ln>
            <a:effectLst/>
          </c:spPr>
          <c:invertIfNegative val="0"/>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PIVOT_TABLES!$A$4:$A$9</c:f>
              <c:strCache>
                <c:ptCount val="5"/>
                <c:pt idx="0">
                  <c:v>Central</c:v>
                </c:pt>
                <c:pt idx="1">
                  <c:v>East</c:v>
                </c:pt>
                <c:pt idx="2">
                  <c:v>North</c:v>
                </c:pt>
                <c:pt idx="3">
                  <c:v>South</c:v>
                </c:pt>
                <c:pt idx="4">
                  <c:v>West</c:v>
                </c:pt>
              </c:strCache>
            </c:strRef>
          </c:cat>
          <c:val>
            <c:numRef>
              <c:f>PIVOT_TABLES!$B$4:$B$9</c:f>
              <c:numCache>
                <c:formatCode>General</c:formatCode>
                <c:ptCount val="5"/>
                <c:pt idx="0">
                  <c:v>41538.370000000017</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4CC-492B-871E-20661AF00C63}"/>
            </c:ext>
          </c:extLst>
        </c:ser>
        <c:dLbls>
          <c:dLblPos val="outEnd"/>
          <c:showLegendKey val="0"/>
          <c:showVal val="1"/>
          <c:showCatName val="0"/>
          <c:showSerName val="0"/>
          <c:showPercent val="0"/>
          <c:showBubbleSize val="0"/>
        </c:dLbls>
        <c:gapWidth val="219"/>
        <c:overlap val="-27"/>
        <c:axId val="1321950863"/>
        <c:axId val="1321951823"/>
      </c:barChart>
      <c:catAx>
        <c:axId val="1321950863"/>
        <c:scaling>
          <c:orientation val="minMax"/>
        </c:scaling>
        <c:delete val="0"/>
        <c:axPos val="b"/>
        <c:numFmt formatCode="General" sourceLinked="1"/>
        <c:majorTickMark val="none"/>
        <c:minorTickMark val="none"/>
        <c:tickLblPos val="nextTo"/>
        <c:spPr>
          <a:noFill/>
          <a:ln w="9525" cap="flat" cmpd="sng" algn="ctr">
            <a:solidFill>
              <a:srgbClr val="BA5C7C"/>
            </a:solidFill>
            <a:round/>
          </a:ln>
          <a:effectLst/>
        </c:spPr>
        <c:txPr>
          <a:bodyPr rot="-2700000" spcFirstLastPara="1" vertOverflow="ellipsis" wrap="square" anchor="ctr" anchorCtr="1"/>
          <a:lstStyle/>
          <a:p>
            <a:pPr>
              <a:defRPr sz="900" b="1" i="0" u="none" strike="noStrike" kern="1200" baseline="0">
                <a:solidFill>
                  <a:schemeClr val="bg1"/>
                </a:solidFill>
                <a:latin typeface="+mn-lt"/>
                <a:ea typeface="+mn-ea"/>
                <a:cs typeface="+mn-cs"/>
              </a:defRPr>
            </a:pPr>
            <a:endParaRPr lang="en-US"/>
          </a:p>
        </c:txPr>
        <c:crossAx val="1321951823"/>
        <c:crosses val="autoZero"/>
        <c:auto val="1"/>
        <c:lblAlgn val="ctr"/>
        <c:lblOffset val="100"/>
        <c:noMultiLvlLbl val="0"/>
      </c:catAx>
      <c:valAx>
        <c:axId val="1321951823"/>
        <c:scaling>
          <c:orientation val="minMax"/>
        </c:scaling>
        <c:delete val="1"/>
        <c:axPos val="l"/>
        <c:numFmt formatCode="General" sourceLinked="1"/>
        <c:majorTickMark val="none"/>
        <c:minorTickMark val="none"/>
        <c:tickLblPos val="nextTo"/>
        <c:crossAx val="132195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70E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Dashboard.xlsx]PIVOT_TABLES!PivotTable5</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rPr>
              <a:t>PRODUCT SALES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60-4307-994E-6670ED90A0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60-4307-994E-6670ED90A0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60-4307-994E-6670ED90A0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60-4307-994E-6670ED90A0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60-4307-994E-6670ED90A0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760-4307-994E-6670ED90A00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760-4307-994E-6670ED90A00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760-4307-994E-6670ED90A00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760-4307-994E-6670ED90A00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760-4307-994E-6670ED90A008}"/>
              </c:ext>
            </c:extLst>
          </c:dPt>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PIVOT_TABLES!$A$13:$A$23</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PIVOT_TABLES!$B$13:$B$23</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22249.15</c:v>
                </c:pt>
                <c:pt idx="8">
                  <c:v>10399.479999999998</c:v>
                </c:pt>
                <c:pt idx="9">
                  <c:v>67199.039999999994</c:v>
                </c:pt>
              </c:numCache>
            </c:numRef>
          </c:val>
          <c:extLst>
            <c:ext xmlns:c16="http://schemas.microsoft.com/office/drawing/2014/chart" uri="{C3380CC4-5D6E-409C-BE32-E72D297353CC}">
              <c16:uniqueId val="{00000000-81C4-4D66-A72B-58B55C0CD35A}"/>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70E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Dashboard.xlsx]PIVOT_TABLES!PivotTable8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a:t>
            </a:r>
            <a:r>
              <a:rPr lang="en-US" b="1" baseline="0">
                <a:solidFill>
                  <a:schemeClr val="bg1"/>
                </a:solidFill>
              </a:rPr>
              <a:t> SALES PER MONTHS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BA5C7C"/>
            </a:solidFill>
            <a:round/>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lineChart>
        <c:grouping val="standard"/>
        <c:varyColors val="0"/>
        <c:ser>
          <c:idx val="0"/>
          <c:order val="0"/>
          <c:tx>
            <c:strRef>
              <c:f>PIVOT_TABLES!$B$26</c:f>
              <c:strCache>
                <c:ptCount val="1"/>
                <c:pt idx="0">
                  <c:v>Total</c:v>
                </c:pt>
              </c:strCache>
            </c:strRef>
          </c:tx>
          <c:spPr>
            <a:ln w="28575" cap="rnd">
              <a:solidFill>
                <a:srgbClr val="BA5C7C"/>
              </a:solidFill>
              <a:round/>
            </a:ln>
            <a:effectLst/>
          </c:spPr>
          <c:marker>
            <c:symbol val="none"/>
          </c:marker>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PIVOT_TABLES!$B$27:$B$39</c:f>
              <c:numCache>
                <c:formatCode>General</c:formatCode>
                <c:ptCount val="12"/>
                <c:pt idx="0">
                  <c:v>25799.15</c:v>
                </c:pt>
                <c:pt idx="1">
                  <c:v>16069.380000000001</c:v>
                </c:pt>
                <c:pt idx="2">
                  <c:v>19899.379999999997</c:v>
                </c:pt>
                <c:pt idx="3">
                  <c:v>28149.190000000006</c:v>
                </c:pt>
                <c:pt idx="4">
                  <c:v>17039.349999999999</c:v>
                </c:pt>
                <c:pt idx="5">
                  <c:v>19299.45</c:v>
                </c:pt>
                <c:pt idx="6">
                  <c:v>18479.399999999994</c:v>
                </c:pt>
                <c:pt idx="7">
                  <c:v>15759.429999999997</c:v>
                </c:pt>
                <c:pt idx="8">
                  <c:v>12989.509999999998</c:v>
                </c:pt>
                <c:pt idx="9">
                  <c:v>20609.52</c:v>
                </c:pt>
                <c:pt idx="10">
                  <c:v>12309.439999999999</c:v>
                </c:pt>
                <c:pt idx="11">
                  <c:v>23039.3</c:v>
                </c:pt>
              </c:numCache>
            </c:numRef>
          </c:val>
          <c:smooth val="0"/>
          <c:extLst>
            <c:ext xmlns:c16="http://schemas.microsoft.com/office/drawing/2014/chart" uri="{C3380CC4-5D6E-409C-BE32-E72D297353CC}">
              <c16:uniqueId val="{00000000-96A0-44F9-916F-559EFEDFA5B6}"/>
            </c:ext>
          </c:extLst>
        </c:ser>
        <c:dLbls>
          <c:dLblPos val="t"/>
          <c:showLegendKey val="0"/>
          <c:showVal val="1"/>
          <c:showCatName val="0"/>
          <c:showSerName val="0"/>
          <c:showPercent val="0"/>
          <c:showBubbleSize val="0"/>
        </c:dLbls>
        <c:smooth val="0"/>
        <c:axId val="937108703"/>
        <c:axId val="937109183"/>
      </c:lineChart>
      <c:catAx>
        <c:axId val="937108703"/>
        <c:scaling>
          <c:orientation val="minMax"/>
        </c:scaling>
        <c:delete val="0"/>
        <c:axPos val="b"/>
        <c:numFmt formatCode="General" sourceLinked="1"/>
        <c:majorTickMark val="none"/>
        <c:minorTickMark val="none"/>
        <c:tickLblPos val="nextTo"/>
        <c:spPr>
          <a:solidFill>
            <a:srgbClr val="670E2E"/>
          </a:solidFill>
          <a:ln w="9525" cap="flat" cmpd="sng" algn="ctr">
            <a:solidFill>
              <a:srgbClr val="BA5C7C"/>
            </a:solidFill>
            <a:round/>
          </a:ln>
          <a:effectLst/>
        </c:spPr>
        <c:txPr>
          <a:bodyPr rot="-2400000" spcFirstLastPara="1" vertOverflow="ellipsis" wrap="square" anchor="ctr" anchorCtr="1"/>
          <a:lstStyle/>
          <a:p>
            <a:pPr>
              <a:defRPr sz="1050" b="1" i="0" u="none" strike="noStrike" kern="1200" baseline="0">
                <a:solidFill>
                  <a:schemeClr val="bg1"/>
                </a:solidFill>
                <a:latin typeface="+mn-lt"/>
                <a:ea typeface="+mn-ea"/>
                <a:cs typeface="+mn-cs"/>
              </a:defRPr>
            </a:pPr>
            <a:endParaRPr lang="en-US"/>
          </a:p>
        </c:txPr>
        <c:crossAx val="937109183"/>
        <c:crosses val="autoZero"/>
        <c:auto val="1"/>
        <c:lblAlgn val="ctr"/>
        <c:lblOffset val="100"/>
        <c:noMultiLvlLbl val="0"/>
      </c:catAx>
      <c:valAx>
        <c:axId val="937109183"/>
        <c:scaling>
          <c:orientation val="minMax"/>
        </c:scaling>
        <c:delete val="1"/>
        <c:axPos val="l"/>
        <c:numFmt formatCode="General" sourceLinked="1"/>
        <c:majorTickMark val="none"/>
        <c:minorTickMark val="none"/>
        <c:tickLblPos val="nextTo"/>
        <c:crossAx val="93710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70E2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Dashboard.xlsx]TOTAL SALES PER WEEK!PivotTable1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TOTAL SALES PER WEEK</a:t>
            </a:r>
            <a:endParaRPr lang="en-US" sz="1400" b="1">
              <a:solidFill>
                <a:schemeClr val="bg1"/>
              </a:solidFill>
            </a:endParaRPr>
          </a:p>
        </c:rich>
      </c:tx>
      <c:layout>
        <c:manualLayout>
          <c:xMode val="edge"/>
          <c:yMode val="edge"/>
          <c:x val="0.31280560043080236"/>
          <c:y val="4.1343680466521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A5C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PER WEEK'!$B$3</c:f>
              <c:strCache>
                <c:ptCount val="1"/>
                <c:pt idx="0">
                  <c:v>Total</c:v>
                </c:pt>
              </c:strCache>
            </c:strRef>
          </c:tx>
          <c:spPr>
            <a:solidFill>
              <a:srgbClr val="BA5C7C"/>
            </a:solidFill>
            <a:ln>
              <a:noFill/>
            </a:ln>
            <a:effectLst/>
          </c:spPr>
          <c:invertIfNegative val="0"/>
          <c:cat>
            <c:strRef>
              <c:f>'TOTAL SALES PER WEEK'!$A$4:$A$57</c:f>
              <c:strCache>
                <c:ptCount val="53"/>
                <c:pt idx="0">
                  <c:v>4/11/2024 - 4/17/2024</c:v>
                </c:pt>
                <c:pt idx="1">
                  <c:v>4/18/2024 - 4/24/2024</c:v>
                </c:pt>
                <c:pt idx="2">
                  <c:v>4/25/2024 - 5/1/2024</c:v>
                </c:pt>
                <c:pt idx="3">
                  <c:v>5/2/2024 - 5/8/2024</c:v>
                </c:pt>
                <c:pt idx="4">
                  <c:v>5/9/2024 - 5/15/2024</c:v>
                </c:pt>
                <c:pt idx="5">
                  <c:v>5/16/2024 - 5/22/2024</c:v>
                </c:pt>
                <c:pt idx="6">
                  <c:v>5/23/2024 - 5/29/2024</c:v>
                </c:pt>
                <c:pt idx="7">
                  <c:v>5/30/2024 - 6/5/2024</c:v>
                </c:pt>
                <c:pt idx="8">
                  <c:v>6/6/2024 - 6/12/2024</c:v>
                </c:pt>
                <c:pt idx="9">
                  <c:v>6/13/2024 - 6/19/2024</c:v>
                </c:pt>
                <c:pt idx="10">
                  <c:v>6/20/2024 - 6/26/2024</c:v>
                </c:pt>
                <c:pt idx="11">
                  <c:v>6/27/2024 - 7/3/2024</c:v>
                </c:pt>
                <c:pt idx="12">
                  <c:v>7/4/2024 - 7/10/2024</c:v>
                </c:pt>
                <c:pt idx="13">
                  <c:v>7/11/2024 - 7/17/2024</c:v>
                </c:pt>
                <c:pt idx="14">
                  <c:v>7/18/2024 - 7/24/2024</c:v>
                </c:pt>
                <c:pt idx="15">
                  <c:v>7/25/2024 - 7/31/2024</c:v>
                </c:pt>
                <c:pt idx="16">
                  <c:v>8/1/2024 - 8/7/2024</c:v>
                </c:pt>
                <c:pt idx="17">
                  <c:v>8/8/2024 - 8/14/2024</c:v>
                </c:pt>
                <c:pt idx="18">
                  <c:v>8/15/2024 - 8/21/2024</c:v>
                </c:pt>
                <c:pt idx="19">
                  <c:v>8/22/2024 - 8/28/2024</c:v>
                </c:pt>
                <c:pt idx="20">
                  <c:v>8/29/2024 - 9/4/2024</c:v>
                </c:pt>
                <c:pt idx="21">
                  <c:v>9/5/2024 - 9/11/2024</c:v>
                </c:pt>
                <c:pt idx="22">
                  <c:v>9/12/2024 - 9/18/2024</c:v>
                </c:pt>
                <c:pt idx="23">
                  <c:v>9/19/2024 - 9/25/2024</c:v>
                </c:pt>
                <c:pt idx="24">
                  <c:v>9/26/2024 - 10/2/2024</c:v>
                </c:pt>
                <c:pt idx="25">
                  <c:v>10/3/2024 - 10/9/2024</c:v>
                </c:pt>
                <c:pt idx="26">
                  <c:v>10/10/2024 - 10/16/2024</c:v>
                </c:pt>
                <c:pt idx="27">
                  <c:v>10/17/2024 - 10/23/2024</c:v>
                </c:pt>
                <c:pt idx="28">
                  <c:v>10/24/2024 - 10/30/2024</c:v>
                </c:pt>
                <c:pt idx="29">
                  <c:v>10/31/2024 - 11/6/2024</c:v>
                </c:pt>
                <c:pt idx="30">
                  <c:v>11/7/2024 - 11/13/2024</c:v>
                </c:pt>
                <c:pt idx="31">
                  <c:v>11/14/2024 - 11/20/2024</c:v>
                </c:pt>
                <c:pt idx="32">
                  <c:v>11/21/2024 - 11/27/2024</c:v>
                </c:pt>
                <c:pt idx="33">
                  <c:v>11/28/2024 - 12/4/2024</c:v>
                </c:pt>
                <c:pt idx="34">
                  <c:v>12/5/2024 - 12/11/2024</c:v>
                </c:pt>
                <c:pt idx="35">
                  <c:v>12/12/2024 - 12/18/2024</c:v>
                </c:pt>
                <c:pt idx="36">
                  <c:v>12/19/2024 - 12/25/2024</c:v>
                </c:pt>
                <c:pt idx="37">
                  <c:v>12/26/2024 - 1/1/2025</c:v>
                </c:pt>
                <c:pt idx="38">
                  <c:v>1/2/2025 - 1/8/2025</c:v>
                </c:pt>
                <c:pt idx="39">
                  <c:v>1/9/2025 - 1/15/2025</c:v>
                </c:pt>
                <c:pt idx="40">
                  <c:v>1/16/2025 - 1/22/2025</c:v>
                </c:pt>
                <c:pt idx="41">
                  <c:v>1/23/2025 - 1/29/2025</c:v>
                </c:pt>
                <c:pt idx="42">
                  <c:v>1/30/2025 - 2/5/2025</c:v>
                </c:pt>
                <c:pt idx="43">
                  <c:v>2/6/2025 - 2/12/2025</c:v>
                </c:pt>
                <c:pt idx="44">
                  <c:v>2/13/2025 - 2/19/2025</c:v>
                </c:pt>
                <c:pt idx="45">
                  <c:v>2/20/2025 - 2/26/2025</c:v>
                </c:pt>
                <c:pt idx="46">
                  <c:v>2/27/2025 - 3/5/2025</c:v>
                </c:pt>
                <c:pt idx="47">
                  <c:v>3/6/2025 - 3/12/2025</c:v>
                </c:pt>
                <c:pt idx="48">
                  <c:v>3/13/2025 - 3/19/2025</c:v>
                </c:pt>
                <c:pt idx="49">
                  <c:v>3/20/2025 - 3/26/2025</c:v>
                </c:pt>
                <c:pt idx="50">
                  <c:v>3/27/2025 - 4/2/2025</c:v>
                </c:pt>
                <c:pt idx="51">
                  <c:v>4/3/2025 - 4/9/2025</c:v>
                </c:pt>
                <c:pt idx="52">
                  <c:v>4/10/2025 - 4/12/2025</c:v>
                </c:pt>
              </c:strCache>
            </c:strRef>
          </c:cat>
          <c:val>
            <c:numRef>
              <c:f>'TOTAL SALES PER WEEK'!$B$4:$B$57</c:f>
              <c:numCache>
                <c:formatCode>General</c:formatCode>
                <c:ptCount val="53"/>
                <c:pt idx="0">
                  <c:v>1929.94</c:v>
                </c:pt>
                <c:pt idx="1">
                  <c:v>4679.7900000000009</c:v>
                </c:pt>
                <c:pt idx="2">
                  <c:v>17359.589999999997</c:v>
                </c:pt>
                <c:pt idx="3">
                  <c:v>2199.92</c:v>
                </c:pt>
                <c:pt idx="4">
                  <c:v>4799.71</c:v>
                </c:pt>
                <c:pt idx="5">
                  <c:v>2549.91</c:v>
                </c:pt>
                <c:pt idx="6">
                  <c:v>4609.8599999999997</c:v>
                </c:pt>
                <c:pt idx="7">
                  <c:v>739.91</c:v>
                </c:pt>
                <c:pt idx="8">
                  <c:v>1879.88</c:v>
                </c:pt>
                <c:pt idx="9">
                  <c:v>10289.799999999999</c:v>
                </c:pt>
                <c:pt idx="10">
                  <c:v>619.92999999999995</c:v>
                </c:pt>
                <c:pt idx="11">
                  <c:v>6609.829999999999</c:v>
                </c:pt>
                <c:pt idx="12">
                  <c:v>2239.88</c:v>
                </c:pt>
                <c:pt idx="13">
                  <c:v>1479.9</c:v>
                </c:pt>
                <c:pt idx="14">
                  <c:v>5999.91</c:v>
                </c:pt>
                <c:pt idx="15">
                  <c:v>7999.8</c:v>
                </c:pt>
                <c:pt idx="16">
                  <c:v>599.96</c:v>
                </c:pt>
                <c:pt idx="17">
                  <c:v>4989.7800000000007</c:v>
                </c:pt>
                <c:pt idx="18">
                  <c:v>6129.85</c:v>
                </c:pt>
                <c:pt idx="19">
                  <c:v>2639.8600000000006</c:v>
                </c:pt>
                <c:pt idx="20">
                  <c:v>3299.94</c:v>
                </c:pt>
                <c:pt idx="21">
                  <c:v>759.89</c:v>
                </c:pt>
                <c:pt idx="22">
                  <c:v>2979.8500000000004</c:v>
                </c:pt>
                <c:pt idx="23">
                  <c:v>6549.8400000000011</c:v>
                </c:pt>
                <c:pt idx="24">
                  <c:v>1999.93</c:v>
                </c:pt>
                <c:pt idx="25">
                  <c:v>2569.8900000000003</c:v>
                </c:pt>
                <c:pt idx="26">
                  <c:v>10799.84</c:v>
                </c:pt>
                <c:pt idx="27">
                  <c:v>2269.91</c:v>
                </c:pt>
                <c:pt idx="28">
                  <c:v>3769.9199999999996</c:v>
                </c:pt>
                <c:pt idx="29">
                  <c:v>2149.92</c:v>
                </c:pt>
                <c:pt idx="30">
                  <c:v>3499.7400000000002</c:v>
                </c:pt>
                <c:pt idx="31">
                  <c:v>2149.9300000000003</c:v>
                </c:pt>
                <c:pt idx="32">
                  <c:v>4509.8500000000004</c:v>
                </c:pt>
                <c:pt idx="33">
                  <c:v>9749.77</c:v>
                </c:pt>
                <c:pt idx="34">
                  <c:v>1239.8800000000001</c:v>
                </c:pt>
                <c:pt idx="35">
                  <c:v>2669.93</c:v>
                </c:pt>
                <c:pt idx="36">
                  <c:v>6239.85</c:v>
                </c:pt>
                <c:pt idx="37">
                  <c:v>3139.87</c:v>
                </c:pt>
                <c:pt idx="38">
                  <c:v>2729.8900000000003</c:v>
                </c:pt>
                <c:pt idx="39">
                  <c:v>9629.6899999999987</c:v>
                </c:pt>
                <c:pt idx="40">
                  <c:v>3049.83</c:v>
                </c:pt>
                <c:pt idx="41">
                  <c:v>7139.83</c:v>
                </c:pt>
                <c:pt idx="42">
                  <c:v>3309.8999999999996</c:v>
                </c:pt>
                <c:pt idx="43">
                  <c:v>2249.87</c:v>
                </c:pt>
                <c:pt idx="44">
                  <c:v>5269.8200000000006</c:v>
                </c:pt>
                <c:pt idx="45">
                  <c:v>7649.76</c:v>
                </c:pt>
                <c:pt idx="46">
                  <c:v>4939.82</c:v>
                </c:pt>
                <c:pt idx="47">
                  <c:v>7079.8099999999995</c:v>
                </c:pt>
                <c:pt idx="48">
                  <c:v>119.98</c:v>
                </c:pt>
                <c:pt idx="49">
                  <c:v>7199.85</c:v>
                </c:pt>
                <c:pt idx="50">
                  <c:v>5499.81</c:v>
                </c:pt>
                <c:pt idx="51">
                  <c:v>329.96</c:v>
                </c:pt>
                <c:pt idx="52">
                  <c:v>2549.92</c:v>
                </c:pt>
              </c:numCache>
            </c:numRef>
          </c:val>
          <c:extLst>
            <c:ext xmlns:c16="http://schemas.microsoft.com/office/drawing/2014/chart" uri="{C3380CC4-5D6E-409C-BE32-E72D297353CC}">
              <c16:uniqueId val="{00000000-5D02-4275-BCA4-F06493AF67F0}"/>
            </c:ext>
          </c:extLst>
        </c:ser>
        <c:dLbls>
          <c:showLegendKey val="0"/>
          <c:showVal val="0"/>
          <c:showCatName val="0"/>
          <c:showSerName val="0"/>
          <c:showPercent val="0"/>
          <c:showBubbleSize val="0"/>
        </c:dLbls>
        <c:gapWidth val="50"/>
        <c:overlap val="40"/>
        <c:axId val="49075664"/>
        <c:axId val="49067984"/>
      </c:barChart>
      <c:catAx>
        <c:axId val="49075664"/>
        <c:scaling>
          <c:orientation val="minMax"/>
        </c:scaling>
        <c:delete val="0"/>
        <c:axPos val="b"/>
        <c:numFmt formatCode="General" sourceLinked="1"/>
        <c:majorTickMark val="none"/>
        <c:minorTickMark val="none"/>
        <c:tickLblPos val="nextTo"/>
        <c:spPr>
          <a:noFill/>
          <a:ln w="9525" cap="flat" cmpd="sng" algn="ctr">
            <a:solidFill>
              <a:srgbClr val="BA5C7C"/>
            </a:solidFill>
            <a:round/>
          </a:ln>
          <a:effectLst/>
        </c:spPr>
        <c:txPr>
          <a:bodyPr rot="2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49067984"/>
        <c:crosses val="autoZero"/>
        <c:auto val="1"/>
        <c:lblAlgn val="ctr"/>
        <c:lblOffset val="100"/>
        <c:tickLblSkip val="5"/>
        <c:noMultiLvlLbl val="0"/>
      </c:catAx>
      <c:valAx>
        <c:axId val="4906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907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70E2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800">
                <a:solidFill>
                  <a:schemeClr val="bg1"/>
                </a:solidFill>
              </a:rPr>
              <a:t>INDIA REGIONAL MAP</a:t>
            </a:r>
            <a:endParaRPr lang="en-US" sz="1800" b="0" i="0" u="none" strike="noStrike" baseline="0">
              <a:solidFill>
                <a:schemeClr val="bg1"/>
              </a:solidFill>
              <a:latin typeface="Aptos Narrow" panose="02110004020202020204"/>
            </a:endParaRPr>
          </a:p>
        </cx:rich>
      </cx:tx>
    </cx:title>
    <cx:plotArea>
      <cx:plotAreaRegion>
        <cx:plotSurface>
          <cx:spPr>
            <a:solidFill>
              <a:srgbClr val="720F35"/>
            </a:solidFill>
          </cx:spPr>
        </cx:plotSurface>
        <cx:series layoutId="regionMap" uniqueId="{238EA3F5-2D33-45DA-8D14-3B86241FC498}">
          <cx:tx>
            <cx:txData>
              <cx:f>_xlchart.v5.2</cx:f>
              <cx:v>MAP VALUE</cx:v>
            </cx:txData>
          </cx:tx>
          <cx:dataId val="0"/>
          <cx:layoutPr>
            <cx:geography cultureLanguage="en-US" cultureRegion="IN" attribution="Powered by Bing">
              <cx:geoCache provider="{E9337A44-BEBE-4D9F-B70C-5C5E7DAFC167}">
                <cx:binary>1H1bU9w62u5fSeViX22zZEnWYfasqVp2N24IECDkeOPqBOLzUZZPv/57O0DSrWkCy8O3a+iaqlmh
kfxaj573LPHPb8M/vmU36+bVkGeF+se34c/XUdtW//jjD/UtusnX6iCPvzWlKr+3B9/K/I/y+/f4
280f1826j4vwD4xs+se3aN20N8Prf/0TZgtvypPy27qNy+JC3zTj5Y3SWat+893er16tr/O4WMSq
beJvrf3n65P19TqNXr+6Kdq4Ha/G6ubP1zu/8/rVH+ZM//bUVxkI1uprGEvIgbSRLbCk8vbz+lVW
FuHd15wfOMKxKUUU/fiQ+0efrXMY/rg4P4RZX183N0rB2/z4/1/jdkSHH//1+tW3UhftZsFCWLs/
Xx8V1/H69atYld7tF165kfvo7MeL/rG71P/6p/EDeHXjJ1tomOv02Ff/Bsb7tl03AMe6uL5flmdA
BB3YBCPMGLsFROwiIg8wcgiW4g4v5/7Rt4g8Uab9sOwMNrB5/+ZFYfNXcb3O18UrwObVWfyt/Ark
PlIZ/FPdL9h/jpWNDxjQAgtEd0CS+EAQGzNB0E9W3TL2FqSZwu0H7beTGSD+BbR5QQQ7Xue5/gHh
m7WK8rh5PuhA8TmMS8dB9k+IthWfc2AjDhy8/5rdP/oWwVvJ/s86r/7fqyfIth+5vZMYiB2/LNod
gxF8ZoWIyQFzmA0aj+xTiMIBICmoTHanEYGK21x7kkQP4PPrZUxUVi+KR6s4X4N7kr06b9bXN+o5
/Qf7QGLiMCbwrYNg7yhC8B8wYdgmTNx+bdDo7wi2H6N/n8GAanX+oqA610Wy/nq/hf9zE0XQgaBY
SE7xLjLOAbUdyon8xapt2jwux3487scZKJy7LwqFq3UeZ6/O1tf6+ZCw7QNkMxshYXh04oAijsCr
4/cPu7UxTxNiPwzbYw0orl6WD+Bt3Os4XDfPqbXQAceSOFRs3Df4GFqLHXCBHJs7/NbiGCblaSLt
B2Z7rAGM98KMyroZ1wXEZrdq4z9XVVge2FLYkkJIs+2KsQNCEYYQ9AEb8rgc+6FY3Q80cFhdvihd
tbjJovgZURAHjBIiEfi++7jBD+yN3YCswC03DIv+qDT7sbgbZiCxOPmvRmJ/JLVNh53f+JupGYwP
iIMFpXg3uOTygDBCKMbyFiADgbuMycNi7EfgbtiOxP/d6ZerGwjnw2dVQTY/ACXDHGkbNloeICQF
lc5dmgy+3vaWniTK/nXfGmrs/iv/v3r370gLqcnLdbJWLVjr+6V5BovAIP1IIbqw76ILw4cl4NtK
0FTyThcZubAnSbQfla2hO+8Jr3n8olD5kdJ7/rgPs9u4zwZ/do+VEAiCcrZRX3fRhZE3frJU+9Ex
hhsIvX9ZEd9fSq3zZ+UMOLZEgArbl9japCYxdyS6j/sMZB6VZj8id8MMJP5696K4crq+jsb1/wJZ
INdIBIQTzp0Ha4Qb4gALIcGm36kxA5Kni7UfG3O8AdLpy6KLF0Xrto3V80aE2D6AisvGwO/NYwl8
gKgNvEFggbYN/1Ol2Y/M7mgDF+/qhZEHsqWQpW+bZwwJbXlAARFBQGHtMTOcQZZeSILvi5eGA3C6
fpJM+8HZGWxgc/qyQnVfJ4BNe791n8Exg8KXxMyGrOJeXOwDR3LEIFLcGyQ+QZ79mPwcaODhvyyn
7M1Ns86ekybogFIpOOdGqMggtSgwlEfuYnlDez0ux34Y7scZKLz57w7Xd6SFgMUvnxMCZxOVYyIh
13772U1i0QPkYCYZRO0/PoamekSW/TD8GLTzVvBSf70oq3HVxJV+TosB1UJOHQRFKbkDgLTh55hD
IepOYxkAPEGQ/SD8HGgAcfWysohvr2MVPSMfMESANkGUgunewwdBD6AqBXEKujPsBhyPi7Mfjftx
BhhvXxYY5/paQ99Z04zPZ7Kh/CQkthmG5qJ9rpQ84MANDnn2n19vO7pPE2k/KNtjDWDOP78odbVY
Q8vfbU/RGgKQV6t1d5PFP36w+NlutIj188EGPILWB0yhLLKjzzgB1xdR7PA7OOHrbbwekBSahV49
WdL9aD59ZgPrxctymmGpIgD72VsmbOcAMgEOpGd+NYdtl7vkgWQO1ObvOzKNbMDTxdoPnzneAOmv
l5UNeLNuinW7Tp/Rctn0gNvALCi8/NSE2/hAzAmNY7YDNbIfHwOfJ0m0H5qtoQYqb16WV3eyTsGZ
uO5vbqp7rfSfx5xgwDBnwAqzfwJca4olE9zwIZ4oxX4sdgYbaJwsXpTRcmPIgjwfDtg5gP0P9V+H
7OMH9OMxJBmj0gg2HxVjPxB3wwwI3Jfl0L2L0zR+ziQ/9OVzhAh0De31rqGliEOHC2BwC5FRIn5c
nP1Y3I8zwHj3snpUP96o9pV7A6Xj7BlZAbVIaCbe9NPt+GmCH0huS2j8ugPKUFJPFGY/HjuDDVA+
ui9KSf3V6OJ/qUcVA1kkgYqYc1esBMW0ZdDlJonMCQetdfsxyPK3JNuP054pDLT+eln67HRdbPI2
z0gfcLoIZZBCu0dhFyNgF9gcDj15P/XddrTzBHn2I/NzoIHH6ctqkjy9CaG9ez0+oxsMZt6BQrJN
QKXdfnYR2XhjkDGALP/Pr3cQeYpED2Dya6iJystKMJ/GU9k8a22fHBAEJEBktz3px3kjhqAh7K4Q
ZsQkTxDkASju38AE4suLMi5nkKzZHP16Rn3FDqC8JSCZfG/Xd9kB6U0GFX9oI779GK3dTxFoPyK/
RhqQnP1/5sbD5yp/njddQGS+/HFQdeto5e+//fHScHjWGHqX2tobRN5qnaPrP1/DQVYEXi+s9c8z
sJt5dvJiP9P1+4bdQAPbn6+BTQSOE0FrE3QvCUo2cWUPPiN8Yx/Ym9oCYLspfgL+r18VZdNGf77G
9MCBlidHMhgioBIEX6lS//gKQ68UUFNAEwjUsuEAwM8zwudlNoZl8XNN7v79qtD5eRkXrfrzNWX2
61fV7e9tXhK2FJhJCg26lDHsMLlpXq++rS/hIDL8uv1/qyK1rJHaekUDOno6bbFr9WKVd3nm2nL4
JJgM3W6IMs9R6ehPJZxaxvhjIsSnnGfoMqhFvXTq/rodY+6mba6X7cD0wrJsyx3auniXVki94V2Y
uKUYi8XU2cqd6uSCVVa66HEXrQplCTcMqzNepdhV8Rgtx9L5VMqqPmR6vCwpusmr7Nwei3SRhY7y
CplQd0qtaxqSM5I12HVKq/4SlXXoOqwbVu04MhfWMICnht2XWGUraypPmizpIrftc+7mLDwPrUAu
YuxYS1SPoWuTpDipBCdv2oROx5VVsZOoCPjgVpzmvYuy8UMgwysUp+s+aj6lqM0yt2vH6dSCOtIy
GYZg0Za68SI9ajfBVF/mY+KnTUpPKmYPRzh19OEUjOUirKWVurUdt9Llehx6N3Fs/d3W8kyNIVva
DeEXlFHkySpaRrVK/VE5uVdYdXHKk1J61qCCr6QOrRWjDT+OFK4WDauxV/aSH6WNXR2jLGRfWzZ+
aQYZeSSfaq/qO+VhmcF/FaT6qpm0TgPWoSPZV8yN2z5ZTJlDT6e00YdOXt4kdtv7lqz52wYl8rAP
SeLqxMaujUrhpVBFXqZRod1e1s1xnQ/4UqjpuqqC2CvToX7bZzr9RMrxExVV5PXpGLtKJsjNFTqh
daqXVUmjxTRaqZd22fe4EOmKl/KLbLN0wTr49anNxuiwt3m77HJ0XHIGG0Ck2QpVTfQm5tlVzNgV
b1VyLFAbuXk4xFcqaNQi5ThdqjoNT5M6zC77NhKenXepN6WSLPs4Ul5b0fecJMGSh5ZzqpP6I+xX
eTOgol0iq8jPJlw2i7yN8mVXqavACq6icViycshdNKkPyUTTRYc66auCUHew6OesGNAqadWl7VTD
Mm155bKEqMNcl+0HFHYFbFFx2Y3yahqS84JYsGeB714XUeaqLifSlR2S/jCoMDhNCK4bP59aelQE
cazdcGyqc8qGamk7lrWImjR7KxXOliUN+6M8tqtDBnvwbdiq7jgIabwK02h0sygCdSaVP7XVqUZJ
EHkia8gbpyiTS5VQ4eMKj67lqA92qIZ3uczD4x6O4q3sNiy8lrL3Nkqwn8Zd/iFL0tgDqLpl74xd
66ZJO7hSW8Hnpqy6ZZDi+iRuVXg8jT2r3aDjlLi20+CFDpqbsmqKBWiyyGXDJM9YToeLcOByUQ00
XQ69Jl6r2DHjgrxFTaAWInAml8k+vujtLHLHSui3KJly7Vps+taOchW3U+2ynpcrgZI2davJvgjS
dlhoKw7dMRrKwxbJykMq4F7HwmiRtr3oPFaJeIUjp8iWeZYX7mghtpC9pT+OSrL3OtR8VYsx+Jgh
HngW4smh06HEjymPjhJej29q7sTvZVzVJ2FZM+JGzoQvs8m2zmTeTH4us+QjK/BHFDXtYclGN1Rh
sarUcF61Hb7pKru7jHvWL6xYqcklHeNuPJTTsYgsl0tVfY0d3d90ROVveUX6YzmyftW2IvNoUDme
xbP00J7Cj4Jm1ZnViDeBleMFZ24bIunJIkdePpLSE1b9ZugCDMyNSbLIhzRYVF3E39AsT877KahO
ArtN3kZI2l6J9IlmcefntK0/FkhrF5d5c9bWo/aisUELHdt4masRljOZkvedBDGyfpwug2i6GJwi
X2BR2Ity7OOjKtEXYIesI10G9aGDnPBrU+bTys6sq3Co0XIixeCWuGjflqlwFkJM8YIUQi8KHJ8M
Ikov65CWF06CEjePqXYbm1ueA2krlwwiWIyTPXLYu9I+shxLL1qrdhZBLHIfNWlzMlht6Vp5zd0g
z9Ci4wS0cOzc2HZULCTLbA9c4Yu8Yd9iLEYvSHriUqkKd0AVWaZd0ntEq2nZ6QDUS5DSRVkEHxAt
wSpuZMCZQ5Zh3EuvbCX+KDpgcwYdHMswmORpmkY48XDnUOWmJOy/WqHOEzcp+uYKV+K7o5LTvNeg
fe2V6CN7KbB420EKwh26lFiLRET9Je4jfdiJ1HIdK7nkg12dQjSVfKikYMsaO/1STtGHvGC+Y/XZ
AlKqTeExS36eJjYd1rK6LgfYUExlV12dci8Zxn5RZOhs6qbTXNajB9YueQ93h+AjbVnSazZIi3QM
DkkXYlfkoHpaWVwXePqqefml4ziARZ1ItMwwj5ZclYnrpEV8PATheRzVzalAYe+GBF/ENiPeGHTC
K4sOL4RW1G2monBpwslKdWlzFZKwXUwqrH3WtvmKDOUaWaCFWJ4uAhwsWet8HQu86qlznevC8YLW
LryYOOCngwN352DuuEjfymps4jC6u0nl5z//dVXm8L8fY379cHMRy69/nd7f4PLb3/Jvys3pS2X+
0kaan3P9ulZk41/+FNVwWm/vfHnAo/3tlzvu7s6JnPsI5oe7a0OY97Cnu3MO6Ofv37m4HE7/2pw4
DiRdIJvPoFnm1sVlAg7hwdkuOP8ooXUMEfAu71xcwg8QhPzg4kLMT6CvA0rOdy4uHJhkCHxSwTGH
ZjMJuf/7997BDzz7fS7ujoNrYZtyCiVSCX73tmOrgiEo01iyVWQvpPMWbOHW+/+NeUHu7Xkljjsg
0cCXrROBLZqmcfwYYTZADujn8v6N6QGV7ekTbqVjPxR8GTV101z2bEIh6Mip/P77+SEPWf3y+38t
C6Qvt+eX+ZQKnQZsKbGjpovKziVyIwLOpwvX9uTYpaRug8PfP2yzJvseZgQXCrBP+rBgy0ERQVyB
SNi45cgEZAR+t1gQlO2dH+2+DJc1qhKwh0ttV/TUtnuav+tRgtjJKNpi8C0+scbNx7qCjOnvHvjA
CwnY6durVwlUdXzzwC6TfDguIx1ojyodxcvfP2Az0Z4V28SE2w8Q8dSjVhNn2aeK98dsJAH2qlTh
6MRJowSf2jrVqVerugCDhzJq14eoiLpm9fvnP/CCzFhRcAiZPQ4J9xur6v2wtWkGGlyE17+f3t7M
s+/9Nkhuh5s8V6mjRmepw7CrPbB0Pif29yoldQ/hUNh3uatHbp2UfWinS43LUhSuFQqcQ8piDoQb
YmxJkIVj3mVODysssOORpvzOnT6et3zCUDolKIJejK2zHEfFP6FyLMH31cnbeaJvQNsWXSQxU6Rx
limJ4xsEN4ydFFacam/e9IbqKa3eqerIcZZZy7sPdl9DOBNMfJ5iE4biabI+qSpcO8u2tKZpiQar
axasKks+U3xD2eAhtMWYJaBsSqoTb2RsoG5dA1MXv1+fB1QnM7iZy653Eh1yP89UHVzyPK/1B1JP
Eh23ViT5BWRnCDv6/cMeIKIwiIiT0SpKVVl+UY6cnStouGw/5G1rfZ81Pzc0mRJIo35wBGR07Hw5
htRq3CFOVfMIGpsdv4fo3FgsWaY003gM/NISU37YQzqiW0J8YMeLOo6onPkYQ58QWgairyzut63G
7apgZQHRRGFnw7KCZMYwj9fcUBp12dUBGXLhVzidrtJmjN4W0F5y9XssHlorQ2v06SDsHlwoH1tD
vMxUw8lJSMcSchGOSIdHluqBHbXp7t/WHpEIq1TwSvhNRscjK5/QWxnaTeb+/iUemp7sTl8G8Yhg
cZiveY0HFyUD/cymslrOm95QH7rj5SaZyfwuAwTaLMyXVFuQWpk3vaE8dEyKMRsT4VOIRgCDUQyW
q9AYTzMfYPA5lZZTywFWX9p5XRxVtlP0yybhU38+6w02Tvg2vByPRNnWwHypovgDF0qdD3FYj/Pk
ZwbR+NhAEhlunfErQtt41U5kkG6U5j2aRzFmUGyIx5q1uOF+qsKKHqkcd8JNNG0es80bzbNHIzGD
ZWOYhCjvAeI6GKtmkYSE8/Pcmjp2HLZBDomnEI/FpywX5Isuwr54RJM/5PMwg3jZEAa8nHpQhZnI
quPIghwUBA6pBK9RQMKVtm7RJlPnxRGr8sN0mEK+YLQn5bsOtUzPXGCDoGPALA75g8DPOWRISNxz
X/CMPLI/7A1T9i0v3t1/TtcOcY1r6RM0NeVysoOuXTrBNGWrShI+vg1VXn6vLNrnKzqJwjkboHBS
nGIuRPJJpNhxHhHlAU30o+Sx5SaJInGqso+pX/FAEY9N8qYahr6ep0cdg2jabphIkpD6YTWIzw6Y
nzOFrHyennM2u3dL+JqERWJZXPpOBpGMp22RT66Om1E9sg0eoMHmnqjtB6i4Hh08NMJvxz7AR4I2
Dfo6VDZQIsIRKt0i1lXu4olV4bcqnxSeuW4GwUlfZIByw3wmAsjcVjVWuTtqas1UsY5B8IlOaa1Z
w5e6duwlG7twMbHSWszSr47BYhZIVCT1MPlKh60/FTxxWVMljyiJB/asY5ATbvqKrAF8ST/Bce7h
1k4WUCXCMzeVwU0IS0phx+XkY4gbXRTZH4uQPubpPSS6YTptVhV0yMLJD/nYnuqxQGA/68hOZu4b
w3JGiW4r0oyTbwW5PMLdAAlBIqg/C1ZqsJlUnVO1KczeBph6PeHKVbkdz5OdGmwWkCwVHQdYrRZH
Xkp057KU03mKjhpUTpDVoD5Qkw9lxOxQySL0IMk8Hf5+ZTa02aPQqcHXInCiCcoYvd9bzg3EhWl3
SNu0Kvy2h+LC75/xwN7ZXNa1rYxIx7siSYPeJ0DcS9mWydKmZTovXqYGZdsCfJV+Yr1fwrUwR9DS
pxfJWMxUN9SgrN3mWSCmRPuhyuibOMv5aTVkM0U3GAuWNEhTm7R+XSaB7TUOVh6PhjRazFt4g7RO
EKrUmiAPUxXxcJy2YXuigyCbSSqDspAftTpbJ+1ho8NevSM9EtlbpxEsmrdvNsczt/dNasddHXZ4
AJ9NT15aOZ9HORaPbPwHNuWmPWp7ciexUipE0C3rLLJdojR2ayn1TNEN0pIqoThIoHJaFdbnBoMD
VkhoG5gFKzE4m1ZTY1mK3YlOcQ2NER2bK7rJVkcEWkR2t5Q9JI3xZnY1f2EMtqaoq4JMwexDAs0K
WqTaZQwnM5fdYGtEHVFCAzzMTvFNHdPsMIzDmaknYrA1hT8EIOIQJpeTzv2MywZCIzbM8w02RZTt
/Ti0hAfZmHZLpw16d7A7qOBWQTvPRBGDq3lU4aIkSC+LbircPopvdDLZ81YdGzxVU9NWZdTrZZ5G
1GXU+Wx1Cs+c3OApCpyGjJHVLnmNioUa4rXSk5o5uUHTWskhAU9YLxMmoU8hiTNXN5jPnN3gKTSc
WGFsSRBdavtUQXnkPOBhNq9EhQ2eDprigsLM/mTDn6Fwp0IwZ2G1llDz9szmTsHtHYnrQea6Cjt/
pHnRuBapHL/qcfttlhbDBlftOMAN9NeAZQ1UdiwTZS9UmozLebPjXeF1E1QkHB3tt5J8sRN8oSi5
mDe1yVQ1Jvk4Wq0fR9YZqMfPI+Yz82vY4KmM45zbBW/9pI/EQkfOVZkG5TxAbYOnRaqsRgqtfStu
Yy9L+AnHNZq32Te3Ie7sFkR6aHcR1rLIhut4tD9iJ4dDQDOKObbBUhH30LWVWKMP06rWnbCKmDsq
Es5TvbbB0y50dJTSpvWhbR19oi3oAehPnOx5noZtEFXXGUZZUGo/L5tpUQ78axRXwcxlN0gaiLjm
Xdxo3xmb0cvzCkRPH6u8bibZExxsmge2MZUFo3Fl5a0PDa3yVKjQPs2soPo4D1aDorjFbdM2MWzH
CBpuSN5/4iKeCanB0YmWEnrfUu03Tgc9aWL4nNXifJ7cBkdpT4c+JjC3lagrqsdTaPk5nTU1Mhha
9kEQttAjs0SBZXlWEpzEE5qZH4Ce4h00bbuq+GRhawnHmt7mI/8smjGbp1qQQVErAj+9KWFNsqi4
KMPyMMijeZocGeykVT+SAZLey3LqVk2P31BnngVFBjGr0WlZCV1rPsvDE1EOftEE8+qgmz/2ss2c
OGuHSGsQusrfT532Ev5h3g4xKJnJpKmmFECkUfoVGn4vxMTm6anNvXXbMuu6S6FdjLXQgpzYV9PY
Yj/RRC3mCW4wkhTBUCSxbH1oAy9cXKQrGchP8+Y2GJlmsXLggL61dGLwbqG5c00lmWfYoEVwd1lg
Y9c19IW2fhSzwXUUtRZS8m4WceCk+u7sQnW8pU5nLWv2rikX0N45yzDQzRGHbTSjMKppHY2trwV0
W/REVa5ds6s5C06lwckeCuTjWARqaUfVqs+g+F6TpJ21U+B+xV3JG61RamUwucicc6KrbzEdm5mr
YvASLpIfUS2kWjY5OXdg7kF3c+c2qGn3MSdksCFtjAk60SJMjms6sJmrYrAzUrTLwJ+FjeJMzJ1Q
8j5j0SwHi0qDm4PUtE8lMH8gY5t4iAasXGDwgOJZqoVKg6BVn9MA+o1aP6TV2uq7j1B8eD9rK5rN
Wh0hqGEE1kXr0FnUOo1dOFPDZ/kRkBAy9mLUcchHDyD4MJzrEh0PXT2TocJgaJJzBP3lRPkiJacZ
NBwu4bo+PG/FhcFQHTbQc6m71kdVdkGtzEuaaJaTAmcWjDVxrGIMSa58jB3s9bndeDZNvs+D0yDo
CBUFJfJWQQcA+wwnFI5j7rybN7XBz6Fpg1Rgq/FHO+vdrOT1YZEn81oXqNn5VDp9ITvor/GhhDQt
iqk840TNq8tTYRBUV1ilkd03fgn9KZmrdGO9sTo0Xs5bGYOevUVAK1INiHbjtQIPblDi66ypzQ6k
FgxPVLFS+SkLL4eqOkJ5Pm8fms1HXSBSlmS08aeujpZdH+KFlRXf5sltkDOeaKCaIVW+jCovpeNZ
Lh5zOzc8+feoipptRr0F+eCu4o0f5Z0Dhxw4S05rVg1un2A9evPkN0gKLfpDkZZO42cx+ZJF9KNV
pVfzpjYoOkBLYsZ40AD/O7XqVGO7dkfnlergr03tapcQjunEDcEgOLU/5p0Fxwes6sM8yU0bOtRV
2qBI+Q6OaQ/nUfRI3UJkUTrPSHODpzQKQ6HhwJU/DdZFnOOruJ4Xi1NucDSLnRoCZpg6GOVFi+K3
AWGzylDUbCrK4ORTXndj45Mgx74lcHthh308qxUXzsHuAop5h5wuhp0YoGl0x6b2CZ3Z0UXNhqV8
CKx2UFHjF12FXNTxw7oP52WH4dTDruRtQ7WmEpYc1OObbsRvMmeYxyGzTUn2YQanEMPG50FYuHwa
38gmnlc3g+Oju3LDmcoGDThtfLvszoldnzSonSm3wc4mhuoE663aV0x8jO3mIkvrWUEcZQY5g4Hm
aVgljc9gZVwJXeJuPeZinj4024VaktQWnKetoW4T1V6D0wttyXkuqNlOjxDEWYWDaj+MCRz56iFR
sdTIYvMWxmxFShIJbWPJCLyRY+4JzdhlFqNpHqJmK1KXOCyAZrjan2SDPVvRM7Ck86rn1GxD0lYh
SmcoYbuUkqIUdO0I18C5QnbprBwOVPh39zr0zyIZDgWsfRj13CsgeeYHAa3n1RGo2W40plqLJg8q
X1gqrb2ur/LvWvJ+ZtBoNhzZOUa0l1blN9GoFnnIEhdWyDmcZfDMhiPOh0GgDlW+zhj2EIPGbzhx
OFM/OgZj2wxOkShSVL6iPGxde8LpOh2HInTnSW9Y0yFuWNMPsDZllJRwaj1/P2T2PJvnmOYUl31u
cQ3rXohqNSqkDvusjFazJDf7jTrSkbHK+spP4EzzR1QG4Qr+PlqVzlsYs+GIgJ508AiwyiKo1SHX
Ag6lO0EJh7DnyW94v1CMS8ui6mDlieqPmka8j+psXm6emi1HPM0xNAE3lc9p+y4O1UWftu/myW14
vWEw9iTL4HgpL+SXouxtN4LrpmcuimFWa0iZC0vnlU+aRHyBqz6GlU7zbuaWMSxrC+dgx4k4pQ9M
lS4cyq5da7T4ct7C4F012YwW1OgzmN3p4M4KB26NSIvHuph+uKB7Ahpq8LSOB2ivE7j0O5aGgQvV
4gSUDY+H1AtzGaarvBr7dzpX2RFRxGJ+G0W1cwVH3Hh9Dvk/1byTPGerFOqS5SpJC7ghgWcxJOPh
2LhAvTvRpG7e9zW2tIfGukjXZRRZtcfAscQL24Fc+5JXetCLzIYsmcegSj0c6doSiY/5ENGjoEz6
0bMRZBM+WdDZOx7CNSCKLwgfYM4+g5sFDuGyjkjBaTs86cMc42FabK5pKL4MnNLgHK5GsJKvynbq
2hcTlp3fDPC+i6qd4E4Q1DnCKzi2U4+NPNSr0C5DecJEAQe3UD3hd/BHAHq3w6w5qmIFVwagUorx
sM+zji66hobOsuM9hRR2FnXUC7MqL8GflXL0RBMTuMmkjBv7TV8EiTzKiN1Sf4LV7j2HpN3RNFn5
WVN0iC4o6rrJTYImmN5ldlLyeV6I2f1SF3EL/e2y9CUk21wHJyfRFM47tULN5hcErwaXY1SlP5ZV
kC9K1Cc+3BgQz/T+qKHt84FqlmpS+syJSkhZWS4O4QKOWdwy29QIDUbwgrPKj1h+E9D0XcD/h7Mv
WZIUZ7p9IsxAAgFbICIycqwxa9hgNbUEkkCAQKCnvyd61cXf/dU1tj0QSg0ud9cZmoOTnv1+bBc8
I62KYNzJXF+mXN3XSXSss0l3IT5ZAKuJ0P66wH1iLeogl0Wuov7gnOzSsjHklEm8OF44adtilcNf
rB2PZax0F+RbcHOXLg37C+R3zDPoX81dT6EmcGw1d1FesCacO8KmC7/p+cRIvsErmO2XY1/fRflR
82VZzNJfZMbn1zEbPF4iuswenPbdPo+6JvIBxaIyrpP1RKZu9kUaJHKoDo1/D/WyenB1IGx/wUPV
X87E90kwHaNcwOvh981uZjcuw5b2F2iTAEdmp3RVJc1b8texse92/JIMni4zMRc15D4r0n6geGPP
CDmGxYjJbtM706koXDkShDCKizl17alpmoMJwh7vZVJXt57jCscbzVgCUcZKE7jwcmxydtveheAy
J03Xg4mq1D2jS2ILNozsGL4/3qO9prbjADL1iGTdDBmrjoZfUdNux1rBZJfepKsevJ6Qr6KVtV7r
uJ4vaWjTg5t+l98Qqua8uQX4ttG8nBzkx2ar9bEzu4d8RWO0zivq5EuwdfSXANr8FzSP9DHkJ0wh
fj9VCaFdK1ppLglLl+Aq8y4qw9q55A9vh/9BfIv3wC/wQeuaqay7eBXR8YOBdFRf1mkHoTI39ZD+
mfQzpGZUWyGLk3nJcxSjZxEkSX9s9ff4MBBpWTi3yD/dNkD7K9AtBCi06Iw6VkbvAWIspB41yy0y
QY+mftANh3bCNmw2PNad2kPEfDiPoKSS7gLDx0YWq2tdXLQyXg7mKNHueLPJ67Ej+IFtJoAt+/kT
0Ps/DoWOPUpMWb3ZfPbdBYJfU7ly+pe3ydGB7042H3w0TTLVF+S2Z0XkPSHTsRbA3xzHf5DwdBBA
uQgKIhcbQy1PBjGeGpx/d2xSdjexFWrkkVu6Sz2P2WkWhBc6aQ5elXucmEubvuuwopdmXIPvGkpW
P8YA182hse+BYpCJ6/q4i/QF6cpzuvgHNfA/aLnc9tu/lIp7nBhf8c7Ixr67TCsR95EaIQnZ9O7Y
JbaHijnJmgxiWvpCZdbzAvKVw71I504cO6Z7wFicrz1lXagvadK15ZBndzKOtmP3wB4yNpqO8zpv
ukseC/c4jTouU9sub//3mt6S43+b+F3imUOScXER7nfl4wFZczjx/KTCqO9PDIVRdyjHonvsDuQ5
6trYUV38mH5Hof6kU/Hpf/8F/7516E1K6p+ApngJ8TQIOhYYgj0EP4dpXn45OhzTBvhbk/+fn2+Q
K3ei7tQlN1mN7s6UXTVL5kNHCpZ/vw++J+28+hGDr7lAjR8RU0Dz4Vg4oHv8Ts58uiUTmh2Rs9FW
dQ0ef8u269rlULEIDYDfh58trjZII9QlEmyrMh6Gb3qQpw7FSjSgf//6xhpU5G4IKh7xtb9vodn7
TIhJ5kOjj/fAxmxjNeR3eX8JZ2pNgV3U3uJ9mPfVka0Z7+V1NUQdhyVvEDAT8n624Tse1Yc2DpzW
fp8bSJLYLBwxdrR8k6oZ8b7k56g7FHOg2v771ztEyAD6meIUpWP9btkC876DTOahtAlSb79/XTVd
NIdkUrfEIHtrNE0utkmyQ5NO9wBHg5ZXWOvbgRVolfVD9jaIeXNwYnal3LzZbpu3RgG2Al2xEozY
4YtXeb/84ft/Nyv+bzyme2AZ1JrJytiMaMbmRL8MUdTNd41chvGMQmwmZ2jpsakaErX2j8GGquDR
pO2gv5CIxueZEX9N42BLitzXUFJlUNaVL7pLVlLqYdia0nNR++99vTXzuTO4c8s5adcfVMfxw2Ja
e781YjnTenb4BEQqRBFCc9N/EBH4LW+hCMmCD12TmalCwRZ7/NvRlSIE8vO5NSLwFf7rqXmi0Idc
DiWSdA+IA65xIDdCMgQ1o/Z5yWX+SBrCj12wdA+J6wOZQGN6kReyhr8YGd7mEX9zJADQPSQOteam
A+bkhXrgbBWJr6Sf/qR0cdtz/7ZVdhffPAea+2mVl8FATOM6Tl65Kt+AeqgcKgR+hYesEl+O/SW7
PCEa8oTFSyIvgQnYKZZOnb1R/OOxr5PfI4LY6hk1IpWX5SYHHdT+k23Jn+bp31McugfJRSFvZuhZ
ywtTc/MeqOr4JRN8/ba2UfCH5uB//cQuGod1nnJiBshNr1SySthhHJpiGdFsvzYOjLY/FNX/seR7
1BzgCXxemOKQm7VSnudkjYAOC9Sp0T4jJRDdx7pKdA+i4wK9k3pUmLSOBAC6sU8IRAdzqnTXcQsg
OIJGQCcvEZ7jLHVnS6N3/3sn/cdK7EF0KQWW04ODW0k+pPaaqyk59xkUbk+MLyo8hC74W9b/n0lh
gm+zpkkDyHRA6Q9cd/4ZGunHqK10r9U1bfnQNNvYXtI0sWdgrrOiFtGxYgWeLL+ftaVBK5LOkYCK
dRafzbLpKsubQ3UcTXcHOWQmUipVdRUtzX1YQ0i5ZwfnfNdt22iopt7i097Hpzofzrohh+pDusfQ
bVAqa6YcitiyIQ9pEjwM7FgXj+4xdIAV3oRwG4htt264b6fJXoKEvv/fm/0W6f/lBthD6OokFctG
A2x2iLafjBnjYstVfCxN22PowlyOdRIGzSVtJvMA1OungUMQ+tjQbxHuH00WzqC4v5C5uaiNqPOc
2+4uHNQxKCrdw+iCbcW7oR6bS9O2Q2VE9hik43Q6NvTdvbu24TBPtM8rq+NmPRPiPppRymNNRdhY
/T4zos/toOIur7pleJaqv7Rjf+wS30PpIIS/cs2RSCk7N0U3d2EJu4c/RN7/2oy787kAne/B8MMh
mpa+AGqsNAyKwsfmfHfBeoj0TIs1DVhLeis7bnr4CoxdfgyQBkHq3yc91xs4FzLJQbTqPfTOVT0+
9KtsjvEg6R5NN7Ou7tKB5pV2Hs+eb4EC+MPM/N2q/ZcgsMfSxcxHEKfi4hJtAV0ewkYnIBhxiG1+
gFJSf2mS3NMiHRadnBi6a64crEwWSFgatp2HOQ+HkzcRJ990mpDlUme0SQ914Ole4UfllnpkxdOp
SdfxnNQWor+BPPauRvcKP9QR6pW004k6LYCysB9AqVz/MK//sZ33Aj+zGyCTk27TaUsjX8hQjmUq
D8anmPy+3RI5s4AOy3TyGhINzm5/haM4xh+ie9hN4I0eakXnEwdiHnYWQpQhAX3r0EncQyY8oM91
syCYpoZ8nzR9rwU5RqmEK/Lv0yI0KvbexPOpCcewWA2U/+sa0JlDI99DQtdgiCACY2/tpNHya0PD
bD6JSU5ddewHbjnpP+60rmksnLxEWq2jYLgtt3buSpGwiP449gO7m2e0cvZLbebT3Atz0lnsKpPH
h5496B4TivohoYbCwSm6idC5BKYQOk4Pgf3pHhJq0iWe6ps91DJD6VtN8VD0ihwDnNJkd/XEYoY0
w9zNJ9JGpqQyagt0bL8fm/Td1QNLEvhw0Rr2Q0ToIgsCsAnXODyWB+0RoRzA5zAOqD31gHkVvRz5
s0qpfT009j0gNHbG0IgN9hTkeIKLpeenZkuOTcxegK4ZXdQDFWBPUDQlbzpYynxnoU+P5eR7NKhP
hBvsjBDZdUyV0DmHPFFc/0mC5z/KxL3Kl4rkQGRPszOrVbK8EbNu9HljRI3neDS4BQ/N/x5MVS+0
jqMWAS0hWVAtJOFlt87HwFR0r/dlRJ1ay/B1zrumyoCkKvN++3ls6LtgJlusAPCM48msZisbPbTV
pOtjsYbuAllu4tDqJBlPi5yXsxYZKaAw7I8FG7rLoDdNGfOjG09WeHWOJvnRR21ycEl3V7cXOvY9
ej0nk4m01GptS0BSj8H+8aq/u0LSLbVpVptToIOxbL3pCmq2Y8pNYED//vU6jtUYtcycGjuI0ida
lRmk5Y9df3sM2BxtaDmPPDu3bec/+NCsr23Y/Unr/bY1/iXN3aPAaupcNAOsfErGCHyUW4w3JPpT
j/C/vp7+PjNwuEG7esvzcxygdb4EP3rVfTh0kPboLxmRqIbBRXqGzlcNw0APgJ8V6/T52Od35zRS
Pe19OObnxOgOGNZ2ZeKRRarLjp3VvdyXmbIZiZPJz/kUFW1O7lV48PLbg78gxDXYjeDTOkYqfMND
dMcAiXSP/IKBQlOLdMjP/iZ9JF0Ul7HIXHFs0nfHtA2VsH7r4QQm67sOjnwhO6YmSPewrzABqIhq
HVcM8Ie2Cx7jrnl7aNT/B/IFGSEx0i6uCJt1dImNAu9aOD1/PPb93bteZ6KhVXOfnuM+WqFxHk/x
/Y2q9yc9wdth/JcQsMdzNYE0ceZqdtYmmO5svSz6eUpDzk/gqab1lWvvxJP19f9Hcf13dfBvP7pr
VKUbqbulHRQqhdV1axmpRhFzkhKnTp1FvUpVDL2Gn0zR0QF3+9puY5dee2WY0GcU1q3UhfJy2a6i
3oL6G6UOsLsuBKRVFrTdvHMFCh4zPEr4BJunZapdxK4wk0wHCac0xYOmCGneUF6M8JNEUdQzLF2R
5EPPv8EGU89REcu00VfqYTfXwxHPRCmvtmFxYyk32q7vISHnlgYebfDggcz31qxwuIvg2sjiIt+g
3S7vIiMZtOk1epZWF+AVwLwTCqhp3300RCN3bNM2+0sbjX88zkO8VAxwX1rMmCFZLosjzcVv8wrX
JRnSqfvWo2mbzsU6wm7XFUkG58UvXRPL/IfmM5x4QOSE7bUuoPbVbp9vIL074/W2Fh1Eo6bSuWaK
ZJWCOFmfPJ5syCkg9TqVdYadlsPJ0W0JnAYXn4QPUbaw/Nwks9fghQ39dgcZ/65MmVnYUxvOTVaF
DXW0FCkbkIVlOqsyDQHcYh04GzrgN9te8MrmKLHSEh2SlfcY2dCNaQEP3xS8kaW51HGKtBGxhOn5
HqvVi6YYM2R2RR4FSlez7sjXwWpWwQ1xTX/Mjd/o2Yx9Ip/9SDL2Kga4oT9TW1P66GuRzbxSHhyV
+Jy7OYIigmfprJ7A0MiwXqaBuWRX8tDnfD6HUDVGNqbD3su7jdHVfR/gzdfzsl/QDL6mYCDlH6I1
XaetVF0MJzGeBTcZSDWrzgVgsXiAtqCgk87LfNqwln1/JQkaaeTKZJeJQjKZnxlMXcuerU7DzTbZ
gmm5ZZbL9BDOkzy5ETHqmfV8bj+sK+Fdhu3Qk/nc0mRay56LmEAlVmyqQo9DZF8yS7v+IV89mkAi
Ced1LJyxaOYXeZaksEdU1lJKyzyhtH0byWxkZwisyPWhIy5CVzu00FbzeGa2Cwd3K9wmZoHkhD3w
U6jm70QF4MyM8Bk179NER1kl6ilpv6MPkikcGh33SzW1ST89yznk7APgWYM+t1sKmlDeh31y75OA
yMdIOOl/Np3qZzBmxqCPnwccWnHqjNjI1eioHT6JQGchQXiTnCVFquPcPIfWyuh73NZ1thU1h3vq
xbllSe7DsYn7z61jW1JC8z4EG507GuWQdk6Y+lFbxyUv5CCz7wllg/kEdrkXJV6XcHeBKtFvT0D1
TRn+5z6If/TtuPirJmbbPkgfRlFp4Dasf7QxtjmsXol/tnnIzyEZsvYlG+eUncKsMeLdIMXq3zhw
JEiAl2joBmTVTYmYXSdnu+4viZcb8dCygW6Xvm9VfRlIHo0P85CnpGxjGpMvGSNx/jNysn4GhTy4
xzOS/wF2iC5al/CKQyAoqNbGZ+4eJg+Lv4N4EP2s8iaGu6sC0/FtugnVPUe8bqKr65t5OwWDaNe7
HKai7JKyVYafQlbL+p0Ycm5Ks9kAmohtmE/goWgGI7/FT8n4NIXehldqmFEf4axR9y9zkqfiHArZ
p5VdW/hcFi7JRnEGfjoan4Z8YT8UNAG6skaXxr2INRwRSkS/uhNLejvyCp6ebHmQLQSOzzWfDRgq
AbyrP4hsyuOrNgYmybYORvZdiLw1Je8madsCTqd1CHOgmK7XSenJVtaRMKjs1JGo6JR35gu1OUZQ
JSGPIGe4YhRNwKexaNdg6k7dTZKngKCdl8+DAzHtlJjRfSXh5hj8zzic0UtYQbAnpEv8V40jDA9P
JYgumXZJ/2kb4M8IgSOtIXlWUOl9c3UWLNkPG/zpxroQg01XxHtvXN8XrcU17Qp0vJfph5sXmrzC
I2PEhSChVpO/U/jKbSGNnccTTBzx0nnqHNFJAe5nl1xUHuXytCycKjjaRjbzDw52xehgrrB+yu/C
ekOOCCabENcJNmhB4cemCd6zRMIEGEbHc1BN4RLlVbp5376Ooaft3WK9yy+z7oO6Ghypt0cKd603
YTS1zXt0kckmi0Ypm5+hGs/tfS5RwTxv6EJk51g2uO9sXScDcN6xWB81D1tZ9n6MbBmbMQ3AWxin
uoGRN3ZQ9M6GUoOM0cXWvmlWmMHf9Xgybp97KN01Q7FsMRxuoCteDG6EsWxE88m+JNMQdN9Is2bq
kSkKc+miE1qJn1RlHjtBQ7JtOvU8a5Yz/rK1PSVaxtNHJhdR30+8aekVJFqmnuaRwBTrhHCkWAUv
I1r/8pBKhqb5JNrkbuobzoFtBokJeySDjtK9aO1m7kyrKTDDBBji8DQZuB7eLMg78h6/mb0ukbDr
VwXReHDScyL6uBwgv8jLAPGpLtfarO9bwiy9y3IDrkvSdQCr6mXMgnIzs4Xn29i7FQSSJY1KPChk
4g2GmyQvq9t4cxd0JMbLUVPLYP6gte+7e0B3hUdW1Pn1B26NqZPQSA3D6O3tpYaGJRVD6p98mMd6
QiT2W33NWiw9hGYZHMEeHQLy8AL3i2m8wr87t3erZXlyu7lXAU0AjmmcpsLmOOUh9Oq4n3k5NG7b
3tJ8VXkBp7GMndNYI77BYde140too2z45sfJxG2h7LIm1y2m4focY/eLz+20wiMGfyTt6xeJ1rh7
l0lM4r0n7bhWHZ0Te4f7PzAck0s0fK59mjoYdUvbeyzmyJfz4mSgP6bRZvWbBXO23A8tEHgv7dKI
poxb0U+fV5OS5Ism6ZZp2PlCqNpgpqjiPztopoZvoFof5996KK/Ir4MaJEF9BUFEWuqWtOmdhqv5
hvxNhBnriyGYN1yFasX1gWwPkrEsSJa0miDS0G+AjabBd6jKb3EZ4lJvr34e5Id0xv4+ydApVjar
x/uLTrv4U0KAiyjpltVtiVo0TmFZ2Kfzhag0YQtclUM9PBsxCFCOI8h3nk3eqv6JauMCBRvhdP3W
9oNdz0nUxMtL1IUj9Hfxzpp/iLPOifOi4JTzZiCCfs4muLxUU1yjFZA1gWXPW2fq9ByOrSMveH+i
3Tsl08k/RG039AiYMc4GYPEAqmUXCRHV8QnGzblZyyyO+ZsNyJegXFmjl3eTdwMI0eC9EldCxrCW
ZZpHjXmRE3pMhdBcDSe6gVerzqCowVy5pl1XjWFNsBKNUNFTPJubkyubbslPBrSv4GWeLQmp9DyE
0VxIv26f2kxBNanwGsS/DwbkNvrKJ9Y/jt2MjKsUvA3KqIUq3FYiui9F6hi1n8gM2YM7zpzBfZ+u
IdJ0CgKvscVG48BeGwwhfDv3nU1LkrChkpuYu4tccdS/JOHoljNJJQyqHR0heRbFDc0qqoDELCYa
+XOOy8jZYkzqdnqeAZ3KuxKeyal6lFO9vWTbzQDVj54+TFkmw1MGBxs4tWukHNXoY4R9p5aAXyXr
EvthVjXcyLtxjkq0pQfydVO1W8raifgO6RpsLSVYND1e3YpxbcWdsAbCGjF41bhsaem9zU3RwwyJ
VXYMyR1HPvDJ6ZQ+cEgpaVi4t8NUiogwDs1WQ4q+j1t2nzm+/YzB/mmfCI6Ovvh2gm/2EJDxTegg
8YoSiNpHzjLikTtF8fhmCQyQ5HZNSwYa+RNa6CBrm1RTqJGDyfu0jRn52LuAnyRpmSy0Xu3DIlX+
wh0U9CuJbVwm6+xKIurmLo7jHH7nfLvn0aq+bnxp3+dUjWUTsrcqGfXHpM27vOChmQA7mZWUA8zB
m9xNBUe2u5032Lttd2wh/JVFq7m37ZblFbYzK7Wf/Xruxja53wBfjD+6IEvfc+WAWqiI7dLgrtbp
4lRRY+dmoMlvIvzZ2HqzH5OEwTJ+afSaAcoZLW6rmpsewFVtq4dsSjZGm4Gz7jBMBHVMQ/u24myJ
gvslikFoBn3ahfejiOr8eQrWyZ4X8PzDV88UYWW+xYt9mGOT8K/IXPVwSiwJyJ1pTBM/tuui4MbK
u0UVLjJj9kpnZcKXgc7UnCDTsHWQJJiYuPYB7N+/BAJewm2ZbE3SVOHUClvMSYNUNLdz2pSjQo7i
ipoGlKpiS7a5+bFmCR0el7Vf/HeYUjmkQ8JmCXa3wtlKTNGCMNSeoKJTk8uYqaZ9u0ao/U99F1N9
tiniToWKhqfX4Qa/Ow2pJvQFpJo2eQB+lkZVlK9Jfo1Am1r/asAP0C/zZDMTllvOF3E/DRMNYb0O
Uy+8SPmWqO0tSuOUoAoGZNM/TJOaEBdEl7royWgcyfcSxar7IhOZX+MerxJ00i79Ek1UBl813rRQ
Jq99ApdCNKFFid2BZKmo5wXRfRrntVo0H7NPDJx++wrD9zD7PE1DTtoqSYcA91XdJcHynjnfrrwI
CElpYW096jKvqSLPk8/W7a8YdH/1c2zAZjtlLaz+3m1KrDkEB5J+fAOP50Sup26BuuslbwLSv2E4
ZYiIIR2HDOFJrCmahaIDff+upaFwd1QKGeoq9iNSgEIxxjhk4HvUH8j42qHcFnPLRWDjYt3b1o4j
d5dccjm+qinol3PfBja/TlM+J1gxn7uxGohal68yT8BFYkLm01fr5LCcDQ91UOZyjh6agdesHPD2
aB+3to05liRtQAac0GUvR7MMSEoHBjmZ19lDJRdCAEP92HMyXFy9Zu8GSjaL7CDx3rxsSqlihJ9m
AVIYnyn8xbK2P28uS7aSw4J0vno6oUAT+ZwWk3V9YAo7Wze9TSOXir8WWJtkJy/DUFTM3e7Vgk/w
mLirkWY/NpDmwq6jkab3dQtP0wfDt/5TnmESKmptHKkibPDK/Dop3wbIUrcwuKwe+/qCPCBK7y2u
gPabc7S5oASI8i89JM5TUSY5D5t3ZkmEgCR0pFkzF9hkCS0zRNUN1VwA4pxPRdQ8Z60LfTniwH+U
UaJPqm5Yh6NWz/d9iA7GE/oVNHmTdSuT924Z8+/oxHxG6mEJg6UKAwS8h0cMedcRXn+FnkXbVFwj
KDbtKJ+sDZGZeQiMuKtKM1Eav8FwBAj68K5JR6qeBksn9TTW8/QwG9O33+DgbH8Fg5ymap0DLGO8
pq9yjm+POzLD3b7G7pUhl7AV9wNydeCa7Fool+ozyMo5K1rjOHIDwBYWmN1lK/q1iIQT+ju2fXYA
9MMiMbt1ekD8Hl8lkrGCJECgX9FKz6dHOmRD8IamAPEBFJR2fLkujHOrsCjzFk5gdNdtc1pDmrXp
qc1Y85YP8IY/RSAKDH+tC5FLGQh0rr5C7gAOsmOSTfGpE2Qj2JoNeT82qEcuW9dOBWkRQE2xzCNc
7DiZxY8s0RN5pW4WS7npKUK1k8ZqWYt2yVTwpWmi+nt2S03ushUs848bM7+sVDZGupsPEZJZHcv5
LocnSFbmbNS/+gRHtshg2VHCFiSMTyqPs7+bf5J6TMKWnaBvWccoZWCqfl5J6tLPhgc5+MdNXqMz
GOQaykiTgRRHhaREu/uE9f0PpVYaIc7Fou1eodSWtyUZhaN3rY23nyiduX8YFal/aaF8nsCge1vI
oxYuHj4GdciSXxEsM5KfKC0FOiMtTx7zfpSIHaHYSsKjwb0Z8zo1oBrhbSnmjIdvmoAxdLOReoQP
iYOg6DlfRkaq1fqQnha2TEuh9Ly+hyZyFH8yY768DYJ4+pTVafQRz+3WX/oafIu7oEdhvCq9LicW
ZxD09e1iPmHO5UMXScDaWAuHbGicxP21F3k+lInptCtMUMvPYOquxZCAJ2NM7NjDuJrgTcrc+sRy
L7JzX0Ni5KSSbb0MsJW4REaF1xg+xoh5HZ1eRc6T7cXwHuzhZYHeT5EMc23fuxkSr1+hwYHibNpc
LD6jNQxdFrZsmAfi2hZhIacR7ZFxpOAfZ6H9KFaGJJGilcA5sow2CSAPm/qgGgGDT05JxtE3cfA/
h09JOvrmQkxoXiG/3sp3JOtBAl/hwPCuwUAK2iyRmUuE7c26YkRvjL4YKdK4pAbD+dj3tevP7VC3
oiRxatz3G9b12ndK64c1Tb3Cb8hgeiej2KkXylOHhG1r6DnLTNDfAUKZurdoRXcnhImuO49J0k4V
EYuKAJeDc+updyGCCHRg7rEWaEfUJukNym0H0PKybfbdFIh2KbtkjtR9ECzaXyA/5n8GCWyTCgVr
yAfu+xXHp84wHdKFJ5nHczkM1t3TPkLCKZruYTMieQf08gCGAPQd0eeAUAON0/pz4AEnP2dgyGwf
0WdaF1xEUxj9tNnISQoPHOnRHpjUbLprhxeK5qvww6RLrBQI75kUyMwRMdWiSzHUBvrlEC/KnyCR
lqVl7piZr2sfD7Crh282vEvrhWVNESSQPTy7nN4OYdAunMNdcUDFhOAjq9ZPubtakDLygvSrVTjG
eO/6NePurK9mtCGvFihqh0BiahJHr32MDK1aXD6KMo0XBq6PZZt8bRiUXqoQevPNZ4WGRlzobhbi
Y7h6RA8eBCy6Z2mkk1LnRJGqRzdsKftuQWurAC9v5VULHlf4EpthzN7CEKRZig0q0OY0b3XSFxvx
MTKY3ET2RzDCVaFIQPXI38LLZkkvYjMu/cHwR7lPExJU9phMkUrLWKWSvFHchRBNNigKRDNp/W4D
gV+eSTuFeisSkO0XNDBF5zkKdYuWAzb1iqQQvub1ADPqfKqfRB82/hrF4do95QZ92oIZ6qCXbsT4
K0xoI56JrztAQepQdndztgTkDShqKcOZGql3eP/pNnOGf6MbzwAXGV3iVSWZv3dOTwEMEr3NroFC
O+VzqPRthRgKnyoac9OC94cCTD/P6B/KEvwKO80FNIci8v/YO5PlyK0sTb9KmdYFNeaL21bKBQCf
6M55jg2MDDKAi3menr4/j1QOCkspq2S9abM2SYsQg3SnuwP3nH886q7psFw6vVbuFTqL8X0yF9mF
ketG/W7ifj2FrVPX2Sa3LK8JTRpp+sxv2mJJtmyDuTxGNvFriC/zcz0YbWlVmCZKzhdRrwsvwCcS
SyckiUHnglJRAZ8NFVrFF+44WyszS1/be0CCCra+YbbzwWGNzMebt6Zhw8cg39rzYDSfQjlZrrE7
GHZv+bFFiMm3Oity/FwZDFnPYVowJ9qBlrdy55q1ucyHzPAs74nM6KI/Taz2c80vruzUZgaZrera
ESqfnzV+G6n5idFb1bA9p1mzkI7eOtpXw3mDPkZalc0MX+hlCZhaoji+XgqjY1lpB8vlArczMCsR
wLU4bKt6V8jyq1rYrpFTLaLQP9t+1BqGAeGwMFU9dtuRtpqqvehkNXjXDjePmFHRS9ePLIGN+JKm
U5Vt7dgutYlXt7ZKypLdVt3ajPtcy6YUtrOtGY2az6S2ncnze0OS1jwJe/AeDPA5Rf0L+H//Llt7
yJ5qbai0myqG8Lkdz4sqiQWLl5uBGBtyjbHN1W1+SAp4Lz4kdm1tW8Hi427oURyaI6bU2JmCFQ6p
YtNVrVAi1B23945TDZN0Yrr23BNjkd3dl3matRcitqbqoA2UmX+xdD3SA/c8s22HqtAGPxfmpJ0q
nYCnW23oBsU9jhj6QDIZl5tlKLz2SnU9RpfC0cX4sOaoyAJP7yB5lJWXRMy0sdZ/9dyujh6sqePm
X9JvkI7rhbbSr83ISq5hfpjq2FqYp+igDgwx98N+qUpp7VtQ9mmXZ+6qP4EqOs6FymACg1ovEABs
sG7qrRfy2VzBts6ImrZtWtMcAsstUs3nmrt0626x4Rod4jG2uoG0utkqzYDvcUsonsXPqVjz/KWZ
aydsE+HY+34e5Lqv7VnTSyLdzGmQYHoxXWnVII305Bht1z05HanqnyK2h+LEYKvENneSQd5PE9RM
mMdeGuNORJx6o8oyd49RnJfZ/eTxwhwX08u6C32gUudy5LmaVI4vq3OTDqKIL+a0ldkji56KxkAf
mJabMK28AtjaJqNN6cHAxVxrAdkf7lKH8IDCk9sMafA5wli8kmCod0YgJQGYxaaACuqGAwNYywvb
i7RubzinS4BnxDhQacxucrm3eNkxV0knydZH2JNo3o5cyVu5ruLEEu1qR1OLJIOdq5NeZ55pPM/c
6anr1rssFY1zWvMKk6thLlX/OqlBElqRDUSHbPu4npfENybXEXCcJqIrvem8MXABNrovxUhk/U1F
7EJnbs9RrwaYxuzQvu61qxzTQBbTlIVL0Z4b5frOvXLayC4PdH+s074p68EK43Gpy5PZkVMDRKrD
t1ZLK4atAsQ3fK0zDG0LR9mrMPdiydpZN13NhGQVynqbBTXvx2iN0/mOSAa7B3tPonb9sErHit/r
rNLzg25hdTzooL7NJQbttn/IiaRmtikdez4ZttYt35bGSevTssRaB8A3m16wSsYRH3x5gFtRXYfY
r+nty0EvuinoF4pDDy1PIQ2H1TSzAG28C2du22dF4+htJWLSq3ykGfhRn7K4u2z71SgvBLV36/nd
FhFeB9kvVLd3wk7fgfk0K0wdT6s7wlrZZ4Ku5NNebJisMw5IbqTnNX9q6+laau1oBYumGS0Xi9e0
2CVq5/wKyhq4ikmideR1J8Zcw9mthPoYzufjhxhwqhNv4MSHppKL4evc7/J7q23Nnmsvdoqm92uv
w+gPxERRlEh0pYeW6WjIa6y4ia7MRPTTltsoWYhjXqrxs0/nej5Vqyic53YeXJvlpUmHi2UR6/zs
iaIer88Zjta+K4bILwi7aXym0fgMltfzyJkLgXnjLYsUF12C0+AKoqQgg4HZeAXaajJQK4fiStvp
3zCuNp6PscicNrNbZ6B2bZPcIZMwmIhGSpnvUpSNnIt0bJDdKEcvkk+i1iXi3lKHzxp3ZdQ2Ve8r
/H62X3noCKwA7rsdPgGSYsBbABu9fwOtWJXmuz3ja+o73GV7MMS8wu3hE1LP3rmdsYdSDlTOtpu8
4rBehtYfJkpsml0x9o5Kg6khP5w5VHdnxwhbK0HKEf5n1/bE82qOt4OpsvpARxHU+ZrXN1FAULL1
aPHd2nGckrg+yOSM/cas33N9vmfa0XVldu0GtGAd0LVqkXb4z2iY9Xnp7HxPUPc8h7qbVoO/Lolz
DWFVDqEbYf7+cwqmH5OF3MUui6rs8o0uX1L7wR3/nJ75x0AhJ7dG6Bp+rqXuPEAL5fxJC82PcUIV
gYcyUkJsOSZ1QCQ56pcdd+vu33h4fyewCsrgtxpAoDCzR5EGM6Fx/TVJpfpjMWkVMYJdWwM4mWNK
LYCQjXkzd0C3LFippgeVNvM+/bGE6qwq+ldqox+EZTEUzay0Vmwr2kzzUOEjuEQ82ATMa9CPcHHe
4Y8f6ffEVD9oQdum46OGpnhLIEAj7vulioawjplzw4mTiXRSEklyptJ5Kf/NK/w7Issf04lS9GGc
JqazdT06OXpiZzYNWPO/+YV+76f/oD6rafTrRCIdlCPFe9YaT5NXR3/OOqL/IA9lTG+KOo6c7ULt
h5+0y0ENufUnf/gPCrPeMPqyGlxnCwa9gUhVfmSAPP7x2/x7r8oP8tBoHlXvSOVuY13rONPHyDcS
Tv8/99PPj/pPjhczqy3UQbwu5lqQzdtLWibX6v6Pf/jvfEJ167c/3G2NYqrnlI9LIqT50YEpTYHu
Lia9Qp5Z1H49oMbe4ytx6j9Vz2f9mAiTePEkiBFyttShOs9203ZXqQG8+se/0Peb67+4un/MgxHp
YgELxfa28GQCAi3LZYJc4Z/PxejdJ5vJm/9T2kbp7lSdPqSrejD4pDn7qFNDwq4SJxvaGT/m0aK6
2e8FI9lfn93/+jr/7/izuvnr8+j+8l/8+WtVs+zHSf/DH//yUBX8+1/n7/n73/ntd/xl91ldvRWf
3Y9/6Tffw8/99XHDt/7tN3/YMJf3y+3w2S53n92Q999/Ps/w/Df/u1/8j8/vP+VhqT9/+ento1Bl
yNLTqq/9T79+6fDxy08Gfksuqr9Xyp4f4dcvn3+FX37av7XLW/n2L77n863rf/lJiJ8RD52d2o5B
bQY080//MX1+/4r9s+2yxOoGDyGBKHicktbT5JefLP1nT5ouALYQwrK/hwR01XD+kil+dglLkhLt
ty7PX/nbL/+bt+cfb9d/lENxU6my7375yfme+vCPj5NAnG4CIEqHR9E9KX6MYM4MMzEztBe7dNS8
a6EDB2+LtSy25ZqmL7HbD6/A5fkBIw3mK9lE9MLPtrXRIWP27WjKA3tJfy9tfkY4ilQ+sXVbL+ZU
iqt11e1H5UTdJZIm64C3In2vlGZdofSfwdLaeO8WjtBZPaVagoYA6o9sXs3B75qhv3Jz3XywRQoy
r7Si/LYstXnJVJY/mLkxETygmxdlYhk3XWNl4bCMZdgjrTzEtReDAkXpE/1K3UWredGTXifpZQoF
owhYxIglQRQBczbs8p6fpr0eol49izRIwrBSy0CC60WBEzvMoSVqxSsUtCTjdaoKbVS7IWrdbGN5
c3GvejSeI6z71WDA28oIaWgC/7goVz/BDteXFrniFzNY/NYpkvHKNkebcybL7sde7y+rPl4Rx7rl
VWPa3SGmyH4jiH66y8ukP4wo8gC/dKQEg3OFRSK/Ag0fdw277ivqRqhzrRwvYmHa6Fub7DrPrXbv
IO8LzjQr0s1+fZMFDZCWSutthTgR9LVd/H4V+SZqe+eiJdzqMcrqb2XZs0uXoBgqmItsetX7OX5C
NTm9LGgiH2Q0RJ/GakOh2N5aj75qjKIMCOsU6sByWXRbZSX6ayEdW5HYnioCyVYxf6FnZLK3WWSr
m9Ib6Z/1ivkotWTesM14C7zh6qmQJV2GC1yvjbzNgr/Q7JyjjBt1efLGofhmLDP3stEwKeWpDAeU
oSpPVkG+eTQ7zT1F93loN4UedEp8Wyhhv11JFb7QZte6zPI4Dgut7J/nFAlB58nhWYypekJzALjb
aHemm9bHFB3yN21WQGl6CuafDmdVdhov8y1k10eSeF8cR0SXdbu2vOkiOprcYMNhKp3Y79MKTWXU
W0ichaidy3Ec0ruk8oxQrd1yMTeruC6Qc5Aa9IiKz0j8ScTjaSSh6K1lZtsvpj3tgQaTU7vU2cFJ
840Zz9G+0jr4GbT97i0kY3U99RO6ARYCvNqJ85pYcNCbbB21F7A89RTXeXYos2n6UkhXf5siCKUk
KaywQspxZAHsQvQHYeY6t2o2mjvGbhjiIR/fUsbFJ2e2kl1bDdYrir0YLRDFE4hOYFTQdSvr0i5A
VUP+an0Vdyj8fPSd8dFKAI5X0dbXzqy6G1Ke6ueI4J8OJY0+7E2C9mmBLOpsm+JkiSiaS4OosI27
WGN3Q2heWNem5czAON+xZxZt0x/Rqj25hRIXA2xyCMtRXbLeNWxlqXmNWLSDYR4MzFo9gN8oWqB4
kToqcJFbXmZJrMZNlPfGZ8RQ9+m5CxC66zSXJmgVSUck/BoBvvV8AzdRN2HZkVQRTK4+PaoWgntn
uJ6en7mHTJCOhOawWFC5okRAJIAjv0nCoRydS7MUw6bKLX07RA33wUr0uhPWdgnoRsQdkgeLQu3t
KjTvqveMZvVbbsWvwjZXBrbZXcowA1FZ/WWNETCO+eSgzFEu9XAttoRTr+bqxaIJDGw6jYfbWRvL
jw5N5xxEZWx+sVtndvyy7pLXuTr3dnBD1BZflKkYccyag3hlcYThSTTLezR007nKGmOC2TXX8gJM
2XJ9lpXlQPazQ3Yp3T1GQD6x9h5Xs4mS3alJqkmcwtvI3ENaUw/epVUt55v2FCHmUHOZK4SC5bwd
TNogdp6pzzpSfKm9ugnbl59Vszb7dK3PkGYuwO1eKbOmOkbXmqspT2nbm+femjexiRcs6EgepVSx
9MDGmPqre+WOJUiMt0KRLlHbvetATKk/DC6NpQrJVX9fJ7p2hPGCGkYm1W7EkJDzRb7Zcq/HWZ0G
tpkNr0CbLmyHmkpalYbJVhswvCTIMDOc8WUnyvyIjgNwcMsZfTPPjIslzd0DkzbQTGep+VurueXz
gDJ+V3kdddcmIDE67LnJ78A5o+dhkt0lvOu3hoqMN0fJO3um4c5fndgW/pxX7hYcSV4MzjB/WbwR
LTsEgfvFHnTE2nGRLQfdjUUERJG7u9gYxd05mci7Ie6a7jowJIjYTLQTMJPkF2hF0u9QKCHBdMXi
TkHOzfdRS635iJQrftJtVTb+kNtdWBs6lMsEvfZpeJwqlpzmHsV4om+SZHIuNVS9wkeOgJ4Gy7Vz
0LSc657iT++ldnL3Yend7IgwCyF4waSJYj+xq2W3RhHpD0ZsPII3J5dZ4YDHgLbBnZdumb44YuQ5
i9wrLlysPSVBPCpi4E9kd0E4ePOMA7WwD4oxtyboGWEyKe1W3gWt3lmnjMaLV83KySjU9I4n6Ixx
/tFoI+K7GenkVamNXDF9ZOTPaZkPR+6hxptu9MvzpHveATfDgrRerCn33tKy0cTlXYz+ah5eJd9/
22G2RbKbyWknHEd7bSCKj+bi6Y9F2XPooQLdRaqUTzElfI96Lek/tea4CyfgTiK7rOIS3Dxq/Sri
leWm21/DJBujL9EyPY2jvfThisTqi5ZVIDommlyu0dq6dxQLlc9dUXsv8bOtvud+jy+QpWYHZuQx
Ksihz99UUq/1ThvHtN0g8KNYIVUVtXepWegvPczCfVXqwNqJ7RXPxhSBUbXLJO5SK03irZiwgbYj
GlO/z6rsRibGmvByuSbGbriHI/Z6pGBpmtxOfYLMuQNHDttJhUa65u+8VzhV19mrn6au5xQYe853
21jvsjZBBpNZVdH6cWOcscu6rG412D10xo2mP9VpZg3BOpAGMCYr0UhzJES87xWY8Ings3ZBx+zG
fRgRoXmtNxmPPgmzU4GZJdFL5M75gbLcMUG+zasaa3H9NHSze9tPSoZ5DYvqp2RE3xh5gVR41rmj
6p7d3YFs1ncT6B+/s66bW1ZCjys+xuikksU9pVK3msDmhOOT4Sxir6WDsTUqYyAFYMzUJl11GFVh
JAlwZZteu4YDIh17pfm2GqJ60hoJXWO4nX7ltjOviKSx46TrM69Qbddqb8yx90YMjPUVIRZPK5Zp
/ySNGctWlyxJKGi4+uoxz+4Jl5NPSleEga+Nxs2vN68yZO2XtDNHc6g5+bpLJ6TdnLR1titco1B+
keIC21VpJ0+RnL3jDHsng9Uk4DdUKum+THmWoMYqO+tbXktqRIbUunAiLX5fe3NB1YRU8mTO1lXi
WfphWXOO+e+b0P/tdfBSfeVmWX3rf9wHf7NC/r+0NCI28Uz7DPX8/uIYJMlb36sufmuT32yP//jm
v26QHnuirtu643kWhBDM8d82SE//2XQcyZao2wZr5Pkrv26Qpv0z5zgbIqui7gj3bHj8dYM0xM/C
9qT0XJL7vy+Y/5MVEg30b/BGYTOGMKkY0vRYJXm8H8AzPUrHjP/mrYBrNrczZ0cwdakJRSFLApGs
eu3STZsZeL1G6rTS83Q8rCxS5qz5vdtzP5aueSon6OlqqPCtDyhKT44Q+T33A+3BMaLkQIzveOMW
ZXJsabmOkZKQ4E6EpdwIixa0ruySj9Hy0E3KJfcSdkEr2TNc5U9rjF4liLA1H2OjxHqYmK4XcJdc
bt25ImeqXe+R/C3sUnuELdCKJjTEZsCaf0SWXgaITbmDLNUwZEE0x30fiHzRph0Os+ZKVQs6wyFf
9fvIUfmLRVDWfWVWZejqZvreeEt8ueQNFcuLhlg1rqTzZU4YBHocMm+TictSGudh3wQBQyUHi50a
GbapPCrBirv8ul6zdFNqvDqlOR9jHSO7QXJOoKzW3Bp6HgcYK+pwrVzjHSfHXPhggizqvaeyU5O4
2fuETmn2sziXH3GlxY8sO1YSpELCgGDQMY0wNs/rs6NPG2llZ62nYvtJY/Mi5Q0Ihgw3SO+m43Gu
2qdFldBXwpxVFq4dvtY8LfWKA6IpN4m9ZlYI3yEuB3dK31RpF5/UOehy10L1wVeVY0fyK1mjp1VC
GNZOp0FvFcRFBHLsqX9yS4r/YgwWuW8iPb3svUlezLKsX5Mu6voAEfWi++6syPGyBGJkvHbJS5EX
NjsSgd57lKsaBL1VotZuJyT2OH4a5ianpUaQE1oeUXih3c5hVj4go/EcWChL9oPSJCodcq/Ro7nL
xqzh031heVm9yflYP/a2Zd5kKrVPkTt0D0mZVG+xbiUp+0jZyGMf81EMEPHXX5vCWV47mVRG6MDA
AZ2kbf3FGDBh+quBmWlH0kF7bwhL3nCUMvVjr5KnNKu6myJpmgZNEXL3gDt7e+tBWzx1tsYpGxW6
9om7jOBmzzDaF3xYxbvbuLTnzBCtfmXK6YHYcavwY+b4Gddvmiz7yRSJ5o9aUh57ZCtIWMxpR81t
41NxOT1J+Mc7B4PKwTLK83WbNXsUnNoY2DV+b18nJixsYod08Ug3s/eYi+v8rUzKvt0yv+11xSG5
QXnkHUZHuTe55miFb9r5rD/HzaK/uHzkFujjat3JiMg03xsqnjU+EsdHLavHfodC2kCR4cX7taM1
DXUvdjVzfZ3ieUPGQmAVdBJUo/RUoGdp++6I+awUNOz5dR7TMmyGZEbT1E0P8zTUJ461aI8HBJSo
yKfSd+KeL6NL2TTL3D2vEK9JGHe9vTG9iS1/BiwQ+soaYKGzDFAFlVv8z2ywsxftlyXZ8bzXTQWH
T2fnbPq1RUnw0LSlz6kbPaHDLoKSVU+G+GDdQDMGVliKdeoGVq9owmQtmfvsVelGUExzUW3MKLML
jASN+kzxkjwi002OemZk8abpLTP3NducUG9Iw9g2ptUCAzXN8AqQljBwab1m+JnC5OSvhdPc1Isq
li2ukgo32VrPoaFhF+kFGP55URqumiZjDl5KfLt90XUvnS4i4lnKDyoH0yEsW+7TY47oIZFUw2+8
QXPwqsrmUe/N9BLZAGSnTObx2Y7i9mRFSfLKcpLmyDSKdTOgNO74wEYYwgo2PIUGbxVfMcfk+7jo
v+qNsuvAK8fqgqPEocgvzZsPW0M06GtoY1ZevGm6RNcR99h548UJOyMlVl3rBtTENvoYz+f3dMV+
kHniMZbFhhVm+Ds/sSpWfTDNwscdwiljj8W+LdrmInJVeV3wSum+qp1VEaJH7NvO7OiQ3yOGNLe2
QnaxB/OUXZDG1lkJkYMRALhZORSq1Fmb+Ggi9p0W70LvK9oBYSkHsK2Zm5PMy/tS43LrVqXmMJ+a
5lWJjgG8lp5329et+YRbP+Kiw6R10pPKfJSUUr2IKvUuvDSPUb+JXnN9DzXNdd175TVtjeKR2qqM
l5vIlSYQ3Zhb26U2siLs1Hi5iN5dA3u2YwZKdslwroTxTcdz5B15hokVuqPD1p14i/fazx7L54C9
4JLr1in2kW063Bgmx33g3tSexkKilY4qc0sAMglkEaUIway16+rnmtKSAOO3sdWaSp2QaInnJT3L
9qq5uM6YooPcBCSVOHJvTM8mtGw1jJuUO1Jg4KV/GmIdUYy06tBYhtdaF9ZDX4/2TUZ4ZzhkqbVH
WKs/NHqlfZppNUfU6JmwiVZlHVI9FVqQKDt6KPRY3IhKPVQgdjdRtaCfWIhFRPCRZjdaamI8suuK
3kVqk7FrIn9JiIIrS6BOXrYkWERqF6z2HriEqnOrflNeGW2hX+Mz7QdpCfs07VHWi0MfMzqAwqxf
c2TzoYZ+rg3QfibXhCd0JyQNYlNPrvoC+PsKubfugGNnNkQy2wRw1VtECTxayim788RU7rTGWffO
mJTbRps8N/A882yKbdBADYlVBmbXme0l7vPiC02Na+57hjl7Gx3wIcf+o9uHnBZrJCGWZx+GRPUP
zTpV+1Jrk0uZ6YQVdQt5QiJOkb9XONx06NmdzQ0oqLAgPjgcLbe2llvnpikc2Gy6nruhEbFjlUmn
S490mXTDHSE5jFWUXKGsNe913G03xiDT0e9jR5z0eHTvLSdZGvCFzNhNnWXuUm/2rpYVleCx7CLk
qFJP8ks3FflbvcjodViy7A6zjfzWNjnKZj4DWQVmUDsWOtkMSMpYWq0GaR/KHC+tjQXUsXiLfQi8
CIi3V7S2gTA8myuKgDpb6htWTAS8dieIybY6w3pzR4bmsE/j5AlwIWmR1XqVdjU7bXK045TOTQfF
1s5KBHA1YW/LdEBo3lX7HjTvedS4IstCjXcipoezR0pyPcGKNEHvdH3k40vQ924p4p1b5P1rvGTV
bYtSSIZmPKgLpIjNEYcK1+oaF+lJLNZyat0G9xso9nDLADs1Pv7t5AUZJN7EfBqxMMCXWA96OjfP
lpnWN7JLEXS57XrlsQ2PPseWPYdO0/KOtq1aC38pxEcFnUDiBeaCK22MygtZl/oOHGweg3bqNXgD
4X4FTO8RV7f28gYsSuJDV5Taxl7q8R2PUoo2yerQYmaJ3KfDOt2OWY9T8ftv2dgCkZ7djK9yFA9W
2ps+EhznmYvzDCqqsr7xwH5whGNry/I7nHkqnPO4O8kisblmgfh9Gqa0XVngSwm0pe5R+Zi88fR5
yefaaDlBIqQzVJraJkusMD3rKUVbdZLUxtzJqnLvxsKtL1le8lMXL/kL9I2D6q/ovK/Zsia7NdOc
Fg+nQEvtuSNqTxotv3hq0ZeLarbGZZ9Jgy7wBAM9ftM4XvY9DvevUR63u6jUXY4rbWK4jGtRV77Z
evKqbOKVfT3yPjWjcz8pzWmJG0yzFYRx1b02dAkdIQBltMiNNiupHkeJ5k2r8vRl1bT1TpdFZCG8
qyRnWzI+GZlM7sh/ya/KcVhvwH76T+v74dvit4RXwKE0TnF0tyRL9w5o212iQq8fsG0ejSaOXVDz
0X1DR9LMm8n2Ehg3VP4yMF26dscVqxqm3SnUJzrKUU8vJC52OfpVXy/tLNsPQ7oe5vGsU+9ImMHJ
PJjOCwECzewPTQ+6Rz/q5De6Xn+1tabfT1WrLitAzVuY8ua5xdfw0TWO3KN+NPCG64CyM3Lwgxxx
wW2Naa5UADgWHzRpr3TAlY2+hwiaj1lLCajvLEn/hWw2mKcZ/eJJJRiAab7wes/PcOWfWAnUHhwS
zyAFThloVCo3hpMwhy4jcA9m1roOrbpYm+DceE3DnMA/DBnXXRRFGrln/kUhMomM6obisXUP132e
bqwh3TmYCPeeU6J/mxCN3sV8MvcTbPy7V63Fl/OW3fMIVpGHg21p93SlDTdFbrTPoLgL4mYL4V3D
gU8VbrQGtdE5fGXUGTEwxB07falPlYyBH2G8qiiAV0vfiipvk73Zq/jarAp+hSyrhc31kKa3gyy+
tT2BzVwuxW5q8/RGI9Yg9hfSFIJ2dZxjnGAv9dkr9YfUieTdbKbrBqLNtIN8GUBd0wZnNOCb1V10
JHCYobvaNhkKnYt7pG/0YHRKpbGaJun5UCbLd9/2HW8NYzxw83IckQ9e9JxIbypzZzcoVdRF/gw6
1fmlIXIbJJNkpLOgd96uU5+iA8WkOfotPAI7W+ZuCBZKjp1ppXjlMGGQz4QIaJ4xlTBGFvUZc289
3PmZOkhMe59znFWXtJ5yJ9FoorptDAGm6px3CtyaeZh6nOKB7hnttU2Nw6lw+2hv6mO5H7F1wxEv
SbONyYd8QkJr6rsiddE9N2P0pW89qs9Wd80vS2k35gEZ4xo/i2FG5Ijmrvv/YNZ/TwFhuiChfwRk
3Qxl+vb+zxDWr9/yqwDC/RlYiIgE0yIbxf0uc/hVAGH97GHTZQx2bWAkYhz+Dl9Z5s+OYQghheec
cS2kR3/TP8ifWdkMnW8E1nLBUP4n6JX0zlq1fxZA6MJxKaw0JSwN//4YcxrHccaKQIvhQGDovjWy
4a1Ubg3Qa0U3Vq51RzScS5hrdnUsR/y8TlHGh3b20iPR2dBkjuM9eeXifMgW3TlHqLYVBqXZ2Lfm
o5aVyWa1me5xPkUXNjWPSKTXN3ewbyrck9ZgLkAZxRGeBfGc9MTZcTjAD6qrc/ZAMK7qyazsjwhL
EwWqxUXWISc0uVetgB3ZvG3qQQQI09VGpcJ4zPH/eWhmk/zCWu3ykolpvebiLr4yeGET8Fz3fVGA
JDzedF3LRduarGCNX7ssE1x5DnDKWAc2JusQP172xQFvwX3Jo0aFFRcsnHn9MerWeLCJEHsmmmM6
aGVlhYCQY9iUxW2tsuqNOIL+IjWW4jC13nw9aJ5Hthbcst91RLydCcHhJsnnea8RIXCs4mm4w47n
nPEfLNQJBO8jZdJ+jJz1nuyT+KpL7Mk3I4qOtULcmHY5PqKOiD8bMjRflDvZt8WZ3KrQuUA/kyqA
GZmkYzdS92NamNAuyxM3suYmcZRxb2WNcxh4rY99ESnICa98Qjyv7wggsXwSaXClMaa0TYPrtqnV
FeR/wompDEP61STGe1umxZWoE/q5sZ6txMwG3eA2L65aIsQLS/3VXaNvC3Z+jJdyfk7Mep8lzsUw
mNlGEb9yO56DFZTHApOKSb7YKHxPuPLto1W01mFAxflho4nHz9ICROGLd/4PdWeyGzmWZulXqVXv
mOB0OaB3RtJmmUmmWRtCkss5Xs7z09dHz6zMrAS6GgUU0OhYRAQc7pLczHjvP5zzHfgXhnIpFlTa
G5WY++9K9PUOwYs8tFM8b7K4GY9SNUN2qgUzHDaBHkATGDSFot/RUv4Ap9f0NyPlOzPVcR9bRZbH
XODAxSZlC0yqeLuWaMZcKJWqYCetSXkfWWV2ceOl3bmYVp51GsIri7aGpqusX7V2mS859T4Yp0E9
z3o9+Kge2e7aw+izicH8rdHU3smRCmMTl1W7V+PQWLfnHT2m9ZtFLKvx3u6CWl/hVV09eXTK06Hj
Yb5YtMORiZ3CzTDNJYntbIGb2E8uV9u2ymX+acUKooA2MRJPWEq4CbNIC9KG2U29zPN2KRSwHzNX
rYKJ1Lf6Ug2Yw+DCpXK6kxbEN73u7V2eqvIgkWkUU7OTBrM6G6XLXeiEpi9SxxMdSsV5qnYLNTqe
Y27GEHc7V9iol1/0RjvNzJMTgzIH4YqaPVSwRrYQBxucIvrG1DJza2mNhe4bTyJLcuc9QyQ7gIco
hgcNq/DNYs5pWvIL11sglvbcFvZ3OhTW/cIOeF8pjblF3Bhy+KxfUTbQHdAA5pitb2Nr3hwtmTcy
bzq/rsP5MXITxlkjzUkIhtebEvnLEOWFjmIKrE4vPK23lFuJSfE1LkfMIVq27JrMUq+MJzqvBH91
UlOASWVrmAH+Afunc7Jwa5WIarBo8TCpthagrXYfmcXyqk6mzuHhTl47DLVXinLZ8jmGNKDNzOCg
0k6vEVbNg2GnZEng/N7qKubPyVYSIPlDS4xTSgVWCnTUzFlAjC3010iPlnsnWsSWEWuLACOykQHM
kx81vNszBl5PMMHBbb6uwl2Qi0poIx6ae3On98JBRGUZX1WqxTW/u5zPXbMO4dRuOqpZGb7OhbJ4
Q5lV584dhyO1X3Es8tHZQ6YovkZRdKcRVr3n0G7feMgrKr+YDT3jHgu1lD4az1ZSAjvr5hwyE6Dm
YRMCDb20EQdfECeOsU0HJmVTaEW/Jlc+GwyKAiZ2OyUn7pMXYp+b0Me4MMTbUCgPfTte5oS/OZid
eEgK9rczIqOFRflbA60ykLmTeuncdVuIPfDY8EOidmBfFBgN09PW7Xn+O2bZLaiYXVcI9b5F85Wp
fb6J8cwrBaVe6trnPhW91xuwazLDPKULxD9oCY/FMkwnUXJ3g3oyu8dYsZie9eOvzDEy+oVI81n6
38UgRlMD5XeWKlSNzgD6hOnXtivHZWf0IcnlghNcsEmGIWXUQS+X4ceNugfM5c9Mtzp3M/AFPC2r
5rcKuQaTzVCy7Bys0GQoY4aeij6vJVZjhz9q2Swgwj6S3BU3ernhxFf3cmdAGRa9dxmnfp48GYZ9
0SWoGIbBcJYjGbTrBFDkIeMkKFnnBmnCcSoz82Aj6PGA7AI2kq7x3hrp6GMXzA7cEnuW/xW8FQUp
CoZt4WkDTdufGOi3CVcwWT9zd7XlXJ1Kxe5+pGsq2Fam9RqcE95UWWxbYYEqW1r31lqJtsGUEqCV
e0MmcwlTeepH5AuajO7KJta5ZnMQczB9CNCrk1KFssehOmnqUalJCB8NiAUTDMdJp0qPWTSbqbGj
Cd01mqZuujo18O9nMvNxreJPGjcTS/uzbiKI5Hf9aO2Mxt0qMl7FnJHToxGN9blyfuzJGH8n9hxe
6ilzNmMo9JOgwi52w5h0ll+WY/e5cA39sBV3fDq2/J6hGhrA2ULW5ttYA59k4XRPTGMNBa1UJnVv
zJP6YaZr8ucK7J5CvJxP2mojNok+4wzsLYyoVTjt2rogyUKfx52qF5q/OLmDpq5JvZls0EcF+uBB
AiSSOzg7YewbcftEXCCXdO1cHUVgf5OOwlrKplUrKVEitfrJodI9VfCMGB/bCG7MnNvbMKT7gJfw
ZbKHe1zOEkJ8fEGMsLV6B56H0b8xo3lGQwQJr8iMB0245bZAa73l2nPvilDGSTCruf2WijbfsDw8
RCL7TmNzZ5Tr3iI5YSncI9Dr/XE0i8hfTIlsa5VIBBEC+pwRewlNkr1dvS9Ff0+/dwOB8M2F9jI2
w69WmKg7R3GpoojWRzNdD2Uin9150bh3qcLCOBCFZfuptQBYaU3VC1uYv8Zs1heSDvEzEgiLMsVu
fTc2e6Z5RC3aFQgr/HRphctMNZ44fp3zvGAO3WCgNdn6uQUaJ6pOM76oZZacYP4ofjJAeKiXVn2g
ipsfYTsuW3MYxb2GcxMgAvAlClg5mf2pX9vjOu+Z/rWoLmOEWq0Q+Ua0euurleEeQz3pfM3Qpr2h
DHhfGuUzZdOyn+s8PyME5YoOayuABdBs6taa/HKJxbkdQ411klkfHXtgWlCO0REgwUkqU/3epwBD
BliUvg47zdhkrGXxEnTOramd6uqGGoPKtPx08oKf122qgE0MPa9tHWoF+Vpbd2+11XzWQ0kSqo6C
apb1zuqy9BiqmvIqEum8wYFQgqSOlWfwYj7Tqajn7Uh60KOD8jMpoQyoKNFmYiD00J3itXZl0x4Z
+OPHqmumMQA2caVbvKgyOoeRUt3bDpdUVK6gkaJ/rbBz49Z0mvcyYWWYiXoFo1q1wsHDplYfs3aL
ca7hs5OEXgzsgJWSq2wtO0PzIUyxq4Y+fC5olx/USHf8GhbBzWgq42IlmMiowcZbqefFaxNBrmST
ZoIgEPNNJ/EUSlSX/yqlZu9qgDC/MYuGu2msTM+pqaDJCDXPSJaYSyM2lp+JnsRnMSx47TXQxadS
nZPHKKLKg6BVJy+tmnNl5KR86n0YXTQsv7vIkOpFg2Xn95AfN1bctodwkdpehbnygRFY24S6rfuj
MspfZt27F8WpxMusacoGyA70GaNv3922jm4ZoOhHoHn6cSSLmytPSwZeevbAFZ1AwBOTelCRuFyL
+IHc8e3SCKaGEd7fPmYMpMBivtjGEHrWWBcXs+3ak0RCEaBh+xmLEQ0p8ABrW+QzpdtkhNtssZx3
bWqAkRXSuI2L1QZTp9WnqE0t6k9L7GdMzh+0rMQhycj9qboQOCwN4CGe0etaUZJc4Csme2F2FORm
UR9LRP7cGqa7nYra0Tw9uc+UsQj6aIWtJa52xO4MylBnN6MvzVWqMRv9SbQMNzp5dJYMyVGF/p7p
unFmspP95i9ak25X2acMIVgDvbAMN2M+/xbh8t0hK9w4xP561ehEvtYQ/8h3Qcg1RJyfqNdOYRxd
4O5QOWrunV7NmY/0Y/DAciSviZLO/rjk7yVsVi+JUvuu6lkziiXdkl4+s2hox9Pa5CMsK37qsdoJ
R7Jp79wZnXkMxHWu05c41tn22xPqwJhnzs/h9LAYQzPb9412NinBvFrXi2cwc1pILze8RKqAY1qr
j+kchVsz3KJN28GozI6hHB7S0fLtCIEAQsdhAzlUibT5ModLjXsZBbcxT9fUbL/4eCJomGQK625Y
fEAWBOF2tU3PbZnM0DWDYdfKWBQGH1QcwpuuSa1rTwjqEquXiPOTaHNdXWuDZFvWihIMlQJU2pzD
vZMySMzMpHkYqhyCWdzW+6F1l0ARqdxzU6RHDfjppgakcO2X2dy1iw1IWkR3g22w+qYajY4JNAb2
ajpHe5ylOmvGcp3PLa7+qusUTybo6DpPN0NeIvkoKyXzKHz3cXnOHGcEtzaMZ8lRCNtNmYZHIMbF
uwx1Hh4Ditt3ExaLQhgkIKQNqJFJ9dQhfZCNptwmU8hOHhpztW53MbPRhTf+UsqsuKRdqn1wAzaX
Sslpc+OGHzzNcOEuCQo3T1Pct95Ywhdd682gHlZaR5fM9KeygDZXoPthceJ2O7uKrFtTTNkRDWl/
EHMpbsZkmrt+0Jtvq2GV6Ftxn7yXpNh9TyhCgBBVPIwDhycvDUAMsgQOHT/k3tVH2HaWmXlJuXJP
9MZ8o5ceX4Y+kY8ddoNLZuvI6UinXzC+N1eD9/RBlzo/DPuRl0gff6o81QM6oeQYw5O9zhr/10+h
65mGMTA3EHWOqkjRrty2WiBNpNRUH2xiZuWspCD0stxEW0lhAb+7BoycayiSdRT4lOkpjy06UfvR
ziclcCWMSYYk8k6VaqA3i4NFUnBiDYBRrZlthdsY6F+68gmMwye2iLtlxnycjsmvjAHywa6bOzk0
hqfOE9tWY3ptaX4cnmEQWvNd784fZV0oxySN478S//+nRXz/P8nzmDn+lxPN4ycqr3/7X5+y+t//
dvps2WI1/zze1P765/8+3rQhZZkI9jXTFH+sv38fb3KGM1G0VYv/WGse93/4u8RfgP4KzbENZpy6
u0Z7/m2+yeRTty1dc9CtIJNCo/ffmW+af+Iq/zHfRLrFaNVmyPkv9spC7yOt79tlRxSvulEUcgGA
n1MJ8ogNl8rMrDJww5AdqqaM8bLpWzMLEOPXp3kawkO5Vp8zXI0L2qPY52Nn+3ncT/t8rWSVLqSo
rThry20vGPuFLc/DGNKaY62fD2BrDUrdeH6d3Lzd2ZwpQVurq+Kiqa8aA7DXqAmRMttlvJPayF4F
MubJjVz3UCyjgVtpJWAUcXNkMYvfHubvp+M21gnqup3QFmHh9tsS742TmuyVZCbZvoGbLNnL00tE
RvrIA9Fx1ziac4b7i/sEX0n3E9kADjwwifpTVyjlrZvrZD7V8PlPK/rzXCFK3IZOGe7m2Pxlpsuy
Dk2nfqMUXUrIlp6NHgRYk2GmFX7nIhvWUFn9VMMT88lFWN7R0KcBZmxjT3iLgKETz099hkfw1EYt
gF60K20Z4JeCYaNhgIO6Z/abWF+XO8oYnkRqV1/kbbF3R8jmO5GieWlXG76LDOWnTIvs1RZz9Rol
br9XzUp/s+MMnqkKMemYSBjspMr3nVfR13z3tOAra93Sd7HNEYl+pxWHkfqb1WeaKE8Kw9TpDohT
yJ/rc/c35+Cyz7HhRUiuleZkqVH1qTDTZTZoDswNJFTgRM1pTpeUrwIgvoqYHzSgL5pJ2ReLoQdI
venjcmv24/V3GtYK4I6SXr9ZOlaueuRd8PXGqF6yBEPdhpTlKnpujRF7sRx0HDIUWWCkc1UyDzAz
J7pKywaALev4XnCOe1rVhDFv9zq1KokpwIrSx/N9GIXTpm1wTpl8Sf2+4Uf8pEvAJCRY5PsFqI9m
YyN9Q1EJ2yzEB0f6Bt/lEJvKTJ6Uxsy2Aia/aTGy4QzSIBh5jE/LOAjHWr/ZVht+umpPn4yYmn9N
mk7Vl4jUj93ZtbZGrRXnMOnoeuhkHkpdhwO3uJWWMAnDhsJlntwSM49+4y6M6XmosWc9wfggSq0A
YNqwMN1U4wKPznXyvt+njqL+CoUyfy6oa55hvznCLxXN+K26WGIY54iy9ge6Vpofw0E9YRC7G0Jc
p0Ph3igcw88zs+J2z8Fy+tMALscVcgi3umI75n2cLFXim0MTwQdaU4BAGIAJCzD7iEciPTNa50qR
FEUCLn2QarWDOHPq1R+oKizkumQdPxDzAbgzKuzVphGKI4ykqEVNtVLhp+mb5YJ5mLVSfJvFku9V
Ne9uUySq80TN6y9abd7zorgmDm3in4CiRZ+m4SQHaTXZoZrBZjU6K1v4op17pe/RH+kxJH/XJUZr
LMeB92nC7QULGnXMWuL9nVU2NguUxFiJHl1EnfSKlfvT6CUBIVMHStW1k/grWdLxK0LIvLWYnF6W
KhpBALXKkRmavE9dgayIaePKvtdm8+OvsLPONmSB2E4tzzlvEpayMvrgi1D1xSoDt5TsoNF0P3Cw
oCEtKuu8gE3xnB5SXwLj8dzNBo2DGdnppujRntltSmRHF/YJfRdnTxJXECaJrKJZHRjuMQgxQOUZ
SJh8x17ftc7WwzOcvYlQj4RRYyPVKpgqJ/wba41RF4VM3dhttXrh1E9Rme4z/RQrbpCrt3LJH+ai
GL1oAuI1wODewnuZi83EYOXJEoN7klWOctI0k+9Sj018SwtKzqFXd4aJPYPpXRII8G6esZTZXk9I
OYSpNAairkdo/DZd63qmFzMuOiA6ytGKJvMd2QgJAAmNyk6MOBeyOU8uCufenVQt7eq2SuPHIhx8
tWzam+Ccv6+ZoKBSLJ3JG/qMPh289D2rtOxJgxL4o9kF3cecZEPQo1U/LXJK98jjE+JcBGptM1KO
lRtjoxh1CLYEOkwEPI8yvYuEHLNAM0b02Yrb7uHJJDcJePCAPerBXUoXoUHKM4sez9XfubfpbJqM
CRA9tPVAXhltWcswzatdleYMPVZxNcOOFLOpjH+nZA7ccF+ET3q1Zv4o6uh+RWjkmU01JpEWOkJw
Ka3XHpCqj4cFVlcyyz04Icy2bgEDiYGPScM2jPaDnAz7nDeL5efw685Do5iYgmOb/UKqhccoAt+J
IguRk54k2yhejEOnrIBBoTEstpU0vwm7lUFCytWfXvfvoDy2/J8K3j+guDiI2QYwhvewkU3nOEnB
Bc4h5jvcNefFkcM7uOJ0i28Bew+32G5wJZlEOK+gXCQhNHVNM4tjnRnVhaG1jezZrfUfYygLDCcc
v9juSpfVPyrDunfa73BxSkImCn07jLVyXJyl/2GsN29LrR0em4hraAOZLdsZduQcozrKCFNwaXML
V4+uEaR73JF5k2xrAfw2aqx1g4aKii7C7k8wmLXTINXRdxW131VGmuwAjHHSQbVLoKlH2Rk88AQb
MLZ24EXTY2s5Na9mVz+HY9F4IIl0Ujto97KpbG+jaJYt2iT7qU1dUiDXQdkiZ+5rsAMnR7EusaoV
h3Ydrk1/5mxMmu0zYTkRu3RsI//TBfr/0WWzfqPvf6I5/O0b/z+lLqiaalMW/1eyg7uEfKdP+Z8K
87//sb/W5q7xF5OtExt48YeU8DfwgruW2AjLTOAKDilpBo6Wf9hmTANTL/8YKljlNWz7P4QH2l9c
07IEBhdH489a1n+nMNf+xTXjIOBzmIVbtPOaJvjB/zOhBDsBZFFNDvtigHMnsqLajaKWuybVLhD7
3QMUuXcc5QA1I8hUoRWup5Sx+aeX7G9AiH8GQLjOmov8j/4AeQU/h86KDTcN7jHL+BdSiuFGSsmg
YdhbHGdg5rStaWTbkqq3PyNGN+t9bd2HMgHYOKZ4KPBNAn++S+Op41IxnvravrQ6k++XheGxWpwI
DKu8xOnEJuwcf7TsU6URhjEOrJVE9zD3LEnDtt6IyoLA3j9zDJ5nAc4rLIJUtvcTQEg0qkfdqCi6
rS3DbUQG0VVJ0T6mInvq8b0ErUF1YGewTe3e8oU1cHepEfPdiW/k9w5DFtzqb21bPTECAj4w7xF3
3+PMNbAuZkDtOBgMo3uLLbgWEYFsW9yIm3KyzkMhta1gHTbrd6VSUg4Y3uC8Ktlyi9L0sbbQX0XT
HlUj+AkEpWQwqXb9OE2CsKqcveTEqtykpDcj1BSTWTp7gwkabsFL4yxHSGA/JH/tHfVDadVnO+Lb
d/ZdI5qbFWo7vSsDbVL8UdfrDa6NyLNc3UM2G7Ba/Crz4VdSG9a+XyDUF5n1W3eX8NAKPWZvbch9
nfW1P9nLqdPGO8XpW6ZjZOuMWElwNTyyCzs06o2lsmdBIWQ7MT7WU3SPYGULYj/l1cJbmhdzkKCo
tUaCSYxnyZwV5hru4vaxLqbfTLEOU6u+Ly3jctBqm3is3qIxIcogOem1IbZA6HwZlozy3Wc+XshZ
t6qFhNREiELJNbBCGS5Y3d/CajkNlnFrbJeCw+6fYR37msYwmng+dWCpgPPUJOashIW+0Tpkww1b
6yzMfXfqPlLgaTqX5Ead8jebjyZup+cEGcgmVItfZU160RxLuAcpXhRVCWSKDaFjeRuq+Lzn+dhZ
RWBro4c4+zWV2pMpX210ZNc0G7NXCupTm5kPgJCGnTPD4m0srlWUaD6++hPVhk/4276LszcLNEYG
nACxTSWeWyh/G0ZCyQb28oPOQmOjjMuhitJX8DzjvmfyOaQxK32bCIOa3AUk6MK4mvNDQ4ifrbpe
28RiU5pzeTapR/qegWlvxfcdBW4Qpd2e6HaE0cyD/aQQ4MHje9LNzkyYvAaSfoGoXCBi4ji4TxLm
tHRFr9XS7ZfM+goXzK1jkW8yAIJ3tashBo0ycpItI4AU5rdO8iVyZ1tn97gOvbHSHqSUTCPNba4u
L6oj9wPWFEA242ZZrFfSMj3E5Ts+GnBLY10ejLI3N2hGew/Y8aXstWOso6nQl+eEGtZHafGeAAHw
skQE1iK8mZi7Xk5XfL87XZ+8YnHs01CMQVTH3xZmAS1M18dJv9J3ocHpxDVxo8OUuR9FVh+SXvwq
M+2Q1ssDdD5owegvt1le7EWhjue8VtJtaU8OQ+/0thKNvCVUr5FhY07X7hucFCoLrsapeZ1U5eBU
yR20oBFmnjF6VTNszRkBC+kg96IJHwDjoiFAq4t/YAduElyJoI7ipPkqheubs/Ui0S1Z/AI1Ywbf
UMDAnEpMZ82zzSQ/LDp08bLCa9ADybedl2WcH+1xjHy40ZPdIYYKN4NsnlTFvS5G/d7l4kPHqoJc
6azioqjn7DWbsT92hGpEFkWZUgboA4KF8chtNpUbwQKHCUxA4NjFsevNBAsf7vLaLDGF2E26t53x
gDd+r+vGbmmq30YmdziHPtFYJISJhQdS6xAMhTz5RU18Dh3fD0LRl0lM6xSESS8IEhAYlRebeRvQ
kNAwa8XeWdxPvV9x6aTobNxOJegjVj09VZ710jhPkOMCnrBLN2uvNdKK2bbrwJQYJwB+fKZ0CGi1
mFR14/vghveF4jxhmTirQ3dZaCARQdnzrm2yO70ETRKZPytwHeBllPtagqWQlxXA9102jFtkLGw3
kCHA25SU2goD9BjAo9dMYYB27sSjd0D7zs7FVO6baiD0IY5oA1LlDjcuKWtR8gsJGcP6/KZ2ecvL
HD20eb8jZmJNs+CVzIJmdTq6xqFczOPYjkHeHK248zLbgf2HT0Gdw6Ml3nsjew5lS3oyUiAk3NhC
vBo0PSibcAu1eFc1ll+VH3FbXKRrvw6NdiChyu9y84Tpfj8O1Zb8IV8DoYx/xAJoilUmSztAEI91
SJ/Vmfs5uTB+e50lZJkx37t80p1cewOgddXHYZ+RA7mx3R0BMZkv2nC/kFzAMKB5gkn92WTgOWOG
MUereWXW5gsGUtbat7n6fsz7s2afp8XwJSJGhmHNg7IYdyB5tgMiJ/oiHnlF2Pdiin+q+RRhkSlt
9RpPv+WwXNjhbNMU7olq/O7CkmClHnQqAGjqNw+Nwe9EL37FkXk1rO5iWM0+yaIndR4Zk61YpsZ9
c9LJT/vfndC8euboxMrRiuYi6omHsHzjEXmpZ3G084/Byd5RTH0w8vPbLD33an+l9vaMUnC8hPGd
4NBatOEBgNDRHqcLHhcSzOQVI9KHjAAXzor55dr1Zej1fTnNdzbUAPwlhpe62l4apItq/We/9G8x
mvUcb0+mpd9LU3wxfDvFyh3wQKCgxDAIcp+suLprrRYZiobBDHFF8qjLo8GhEI++ybGMFTpmK2h2
fdBNiMONuyV1DqOeX1U3+RmcISD1i+kMXl2z7HbsxfMhr/HwqHflSgnJ3focmdlDU1geu8lbLwdC
pcAzye6dSI8cuu5zamYwq5QthPRLlbZ7bWzLjTEkL7CmxUZZdCIr+Gul9/biF6sQbhqZ1ba/THc6
xUm2h7KBz1Y/m2xQ0KvmB+QpAQ38yZxS0FnWSzM1Xy4amaAzsVnlQ/wiaqX1SD1jc5XK5wll8MOI
kdFj9+tswJBQ2JRlskPPjqi+OWZp7iETB/lsinv2r+9ROn/rYf+K9W2HdAQjrtm8NFm1L8cUHSfh
gkCzLX3YRWuW0/JE2tqm5+DNEGMaQt5q8htQRuxmTQT2oGDpvUO44HojAX+uy0cdR6k7/sbD4vXJ
Q1e7x1G692GXXNP2iDbAtwDVT7dpiQFqbmOruNZh2fpES01+FsfcH0lAK3kjNgPyLxTPdNwt7jMo
rtdoVG9Jr3IeOLskesqSbIcFBX+xeb9kDomu/XlS5cOg3UuDDxCA9SX5UNQVZvLHAi82c/o1jt3e
GvVzUmEaUuoJCzRwaPRmv93iJebZnGG9j1oE/qLchy6NRAUiuzsn2ozJyHmyANQ6ZveZkImkQvr1
xerPcqgfesV+zSCyQ89+qZEZwpw49PrJxbeZkMTDRZutOrVjLa1HTT4NAp3CbI4e+a21C0bFom2X
8jlSMeeRb5wcXVuee5sbGVrLcrTDIrurHEt+KyJ2g4J4hkMYGg01ZON2b2LMype6Y7y9kLjrMaKc
fxcoNu7dVHXumswYfg0Q2gMzc9UdcRH0DosFUTvsHU93xBSUQqjfVpHHD44hrZOKL5mc1sySrAWr
7KW0yeEhV9S9LYPBK6l08QfU4XGfJ0THbVJFwIsii+OYug7I8VjNmHOy/SXCITkgUYj2Nki0H76l
823ny/KlSAt/qJi7Xaim2mNpNcZWs6Pu6sRzc1QLVFyqYjeP9HvUxxRm02aASPJQy8x4QgA/eYpb
c7ek8XhQtRat2GBGh16Z9a3dRNxxizL54aw5hwg+N4ljQ06UZVnVd0WZRgF3TeVNwl1w2lTtypoK
j3nTt0eCiAaVIo7Wa8Kvc7SRcd51JlPzQp/vSkcfqGdmlUWI09kvYGXm76os6lPaWeE2spboak5L
+U5YgHtJjaJ+ptHh+XHaSH45qdW/YRgUI6anOL2aQyeeBDSbG4kV80M7klurjY24DWY6XZvSjU+z
+TIATgMP3uxcULS3sNTMZwWLyrApklmHI6iMW7aXHGXLlD80g91fxgRK+cyF+YHcjtRC4IGMb6fp
K8Updt/nY3fP1Kq95r2WHiQzcnpITE5ulCARL51+q81FtMN3h4rAIGEVUwrr7hA3KPlwcucCUAbF
vILkM2hVDMpDUFT5SD6lEYtXo4+Yv3M8faS4ZS/V1Bt7ExX9SVmWmTMFXAChqPflBLCBcKUEWyyw
pvmq60SAof+d2bLzyZzxiLYz0dGM7318zN8iTxU63rYHAhYOT6FiPTvFckUP9G4l+Z5t+wFxs2ey
b+HYT/aKNZ3qBOw+y6tA2MJTVCQapuIGYub+Ve23UakPw4yvp9fMXxaMCFyDn2aTBXOZekOUbTv2
ZdBfRy4GU5DWWjmudXEiU11x169AvJ70Ar6S6lxys/dh93jxKh0kJGbILrravGha5wYold8wzjJE
jRIqSmk9DebwHLIDr2Z8c0TOMLDNzvOkHCJnvjpJNBwqBve+UPR8L4ny9rNFv84O7misX5AsigBK
2h2Zmy0pXxTlbYIXXQeA2HRbhuu6XwVt/9ozM+zK9uTi6k5cZwtz/3dVtP+XbHljXav+07DDYTtq
EYcg6DVZywJH+Zehi4XUPu2ENULceaXNT07L1E/kk4JDVbR8PqpWUV+mMloeOJ/i25hY4klL2/Ta
IEwD22MVAzqDQX7Zfx6VbH1qCN51L2J9kuL1mcrWp6tenzPtzxO3PnvlEhEhYBQMUEoezX59Rp31
aZ3X5xbvWvsS/nmYpwhzF5tQ5RiRJHM3r0+9sz7/jVtGAZKI+k66rbsb+9GAUxaho07DbPYJKQ7v
oefpW6zVETo+TpllPW+ikJNH7cIJY8poPLE35FzSWurzKI67R0K/2ke1bCVadKs5VksDYmkNHXfX
k04PBWfeevpZ6znILN75VqJS+9HXU5LIoOQQ46B0K+Bt2Z/DtF/PVSWJ9ED+OWzZJ477OXPij6Ki
zqjU2b2ZKciW2NCzFzi0NAzjyPFNipx1qucxfjDdUvsOXWUK4HOulGwu+T+XQNmvpuP1ZmjXOyJc
b4tyvTfSxJ1/q+tdAmR/oGTlftHWm0b5c+nwbpaHyOImqtc7yVlvp3a9p0KccodpKs/leoehY2fN
x7UGl4zVp0OC3y+GhCfHdl3kiLrWIs8EtuXMPQazOcn111nYDLUkFp730Z3wYc6khG2riAFUxmcz
6K2BSbykgGNQDQdnKi52S4R1HCMi1Ss9vgBY5NfzelvRtO0tBRyaZxIO8GlK0Zf70lEXmpuy05AR
q3bjJ92f72hgB/Fs6UBCm0IFz65TFnHstWWZo2pNrU8HDdVJphwS7Egc+lWYQ1QKkjQaNoToZr4M
tXoYjBx1caWSVLPFjUFdQrfg9bXy7+ydyY7kRpqtX6XR66ZAGo3Tojc+u8c8ZkRsiIyIDM7zYCSf
/n7mSqmkalVd1OI2UMDdlVDKVIYnnWb/+c/5Di5qQriAUXtke9Opp+3YNPcx0+ZBGfK1BaFGNcLI
JLFwr1x4fIkxYrudp21ghI9p2jzmfYxNAIjfRnsGrxVVG1ufgf0HQ8w3wzedKxve57ar5RPGTW5A
hiDiWowZb1iaQun2y+995RqXfjJlWw56qnPMLHn06PlduT2Oqth1HxMrffSbhO7xJsgOJavZNWv1
U0StHA2G8RTv6Mri0tPn2Wa03TfWlGglVvKFhydb582CmRjFbCssMtvcP1aq4F9XPBjAccYXOqeq
E8Z5m/UL/TekcMS+YcewsVh2AHyQez8GOZCXFKfEZgP6mekBG1n7PR/MO+6FrFDcqaE/Rj3V1fRM
GL98UEA5boSfx3uJL9RfRQSzLmNyRKxoo2rfg7ndElq19jbm+B07PqBwcux2o+C7VvnomiENz8Qp
Z48oGZivcvRYq2bJC10Eb46Vc4Nw6nZPBV+/x9JO6HnJBx4r2r0b6iHWrdVh+q0x3mmb3BqXErGF
1KHylu55rha1yTh/6zSYNcnNomfGjPwxxVDPFRutbTBrRKKeB7pgJKoqnWNkgwZc2cKWT53vEubq
nfAo6sA8ED8jVhx6nxar2sdMGAtPAS8UeL6fTDFfGP8fY3hm68lKaOYzInldV+zIK5fPLg/IIAfc
KfK042hvuoLm2dJaBXPyPs/iReWvppPCB4IG1ItkDQ/idrHgc8xZ+eV2yz3LZperMEWbRt7nNg0L
ntgydJAla8W4sVNejpbJ4MGGnMOqku2Dxss+AeijiduzPqaKmjmnSZ+8Nj9YLS8uAJqKybhuSZZb
8WVEQ+3sqRgtme/X1HJIsJdPNgjS1yMuevAB1Ckdkn6sjrEw4kNEv8ML+3yGTLpzyM5mI78OlsGC
x2Nc3sIExAdxSmq8htxYSwfRC6Jb/R2Kj32MDNe8iFWQHukA7G5CQKO3YwcnCifC9E6XBLcn0XgH
Nvj926jvVo2+Zdn6vqVDbBup72DC6D1Qn5WxCc+3M9648snXV7ZWX94GPvH/3Q3VHxdU/07wcFay
xF7xvBJ95X8IYid/WM/8D5T45ffP79mfWHB/+Rv8pMKZv9jChx9OzSWGRNo7fqPCeWRnbQvrmB+c
/WhkZ3+znXm/wCEHVsYQ4gWu7/0tVovtjD8dpjPTxhznONL7V7Zbvt6T/eGm9bvtjN/mP/5I9aen
DSU26+PDP+joJGawXHhG6e8HtlzgdBzvVIFMAGrwl42djhEO113gz5AkideQWffLGmmvYI2eqCa4
L5Az7rzMlNPaSylIXP0s8yQ+YdCLM1ohuyKTIjWMFaxekVOMGspJJa864dgnuF7q+wjD9r2OM6fb
tjKt91VRtgW4Vt7g63zseF8paMtv7cwLemVXwTTvZzJJJnjYfGyOXUUHi1alJJpWbaXNKfUpCqXB
3YnW6dI2j443FA+D702QoQac59Pcuq9YoorbabJ07uHcI9oC28x3YmaJsQK0Yr426ZzhAbJBBayD
rPfuJxp3WBam9viROsZ0IoEqT9YQRfeO4dCIoQtHhZMO38ywdW4xMBT3XpG5kL5kcJB5vexHioC2
DCReeDlyWUa4wDNuR4hKwlWGvxuH9rdyUo2GjckJA2nd4koehxVQ8OWiNlz7SzOlH5i8lx8JxgWy
blHdvC4ikzfBMKfWNu7SkJW5TKMnDLLwp4eh6G9jjoRrqnon4k1TzdVmiOYRcm0S4c2ORvXkWa7x
3ARUw3GN88wnf7AItQYugvc2MXLz1ndj8Z5aivq/xW/WlujZvk1mBDStdA3OR0Qfb1vUYXCR2ll/
mWIhhL5it+XBS5ukO0pulS0EirJ/ozoVi4kjh+4HmZDp0RkrjeaUYGR/FqgiOVxVCLPdOqLyMt/0
gaTyq0m74IYplHp4ADLg75xglFz+jLxKriiYpYO2wBUl6UsDDLUr5OL9KDF/gFfIGydc12lZL1uX
hmMLZUCXrfYObLgFI/GLqQ95CEIT0CpnckagUMXc8WHkhWKb4WHr44OdhnWCCsvnN5KrXtv8h6ZN
4szxvUPAseXTd6OXAqjPF9B3bz6de1mz0O1xqjeD9VFTZ1is4pbA9t4uwoVHaoL+hhwBzeJ2zIV1
OQRxSYw2z/1jrFT3wfJp2hptPZQbMyn4Z1I9xqVlJNzHx2EI3mS1LOltH48um5opdI6pmounpo/k
5wx36xUSREik5W8Nr5ZJV0ZqGpkE4VaqYx174EpjTBIAmgyMsRtRNjjOCSP1lAYG0UCDCuCNFW27
/o9fe2CzLgBT5uUOrvip9+7MIewo8P29FtagI5LiC6f7BtvWvEbvWHbO0PXVpognLrj174WxaBnO
qnVUdbHgRNuNOabeLSF/NIVkDLGDi4C8xblFVtRlzmeB0+uftsjCRkECtkJ7YdWtq2RzU1WoFs7o
EHj03K3bVeNHsORcEK0U+Yzs6NJf5YCx7sFX/aNaWa/OyNGSVrZeKTBaPnuji9yt6M0Zb3lvXA2s
jK8Cdk4xzaHSu6eckfz7uXSWsIV1NJW7HGQXtvdUUI43XSS4CFLXYGwiGslfqir2tiPQ8V0XhuFj
P/DKWesGtR0rUfxaTlAje/YmCxs6BdO3MlHVTZpjZyObE5AnnabjoCvYhtmu/PUcQ0Dc/7HVdshq
clpSRfUrN73s1cP9pE6B/Vclt+YcWTdklRgP8r6ZT4YzKcy94KqA6FPPvQkTAySniW+05llNq/fc
4ULZy4GHsDEHhi48Wekbq8v6xWkUG9ymaTVXcpC9s5PuIuJ1laXEo3uv/auqXOx5vHQiUzYb2yhN
cRFTzK02Ix//gjLXwzR363nEDUBjmkT/nHWDblO3V+zRAFwrSlkyVvAiuKbhL3+f4ij+irGrburO
TB4xfuEhC+hsQN7OM3+fnqt286jytiiCdY3hyEsOsjRZgRsVIrAcmykm1RLmp0GNrC6dMS+6dV71
1TWVBYyeVtRFG2rPpltVN3Q+G4w6+7GIzaOFrRCiMSDwNbtBB3aEbaeXdmsZAC8r/Mqk9OL9iJ43
TKQ4Ypi99artxoV69breDkVRMo020iSjQ1EjIgi9vmZuX6gpUejf+cCvqvgT3tWV132zc1+dQBSa
uLHIR3FHzkicwE4w/1T4Sy6Jxavsu4Pn+vue/nMX5kD+ivcUoqZb0PGN7Mx0Ugb5Kba14m2lbZPR
5hI6Jrw/+iH4CYx9a93TyHEnrCog6ASdJuc04KBOaPz7c02wLLv+vgyH8Uty+OztqLdPduB+B6mO
JQK44AG/YnQQfdc92ZNjH/zM8fjq6o54+P0sHZMA3Q8zRnA7WJbNrlkNE+0Hfn2yYGlv3TkZ0OSt
BUJpAkZ2o5J0umSV21+WEbHeYAyzq9zhRa438QQ6rAmJfY1mRX1n7+IbJ/NtWPsunYmULEmTHZek
q+5FKnOqRJR96ft9erEEibwY4oElbVIP3QsDZ7DpnNL/cOdQlCu3lM2NJCh+Xxamd0j7HmCJrEMY
e5MhPhF5BM59q7xrUlwfTb4kclvQUHownb5+MkszQWnir79Cw3sp4swrSOlmS7dK3MhcWV7qXZeQ
Lj+sBHLstoUBuHbbvobNEzjrpW/g1Imu+5giq751e+rIyhYaxlplKROY03lbu/JibE/AQ5nQapvc
kSO8N4wsKYGyIZ+eXJng8HNUEf0IqYG/KULDvoRQ4RXrvOBbuFJ1b3GAguZ9hbLuselp/AdD2ijj
jRlGrx7yPqTSZJzeDCARb7pcPkHYSKfnGrbiPvZrD1eBa5+CSWVf/HnbW1zL83uwDAnqTT13XM+S
Nsca25JvpmMJ7EPaKezesCJ9sXKdeb7zo9bfAY5Vzwsesp0HBuU7BT9cNeouIzLed6HqV/StYCTE
IRPt+atSl7+WPXtJ2N4lre02XF9cugb/2PtcA1RKTl5Kxex+6P/W/uwHk5vvciu2rklJyW/CUwyS
ghjGvEvGYrQYRv3IJmnd+hdJ5C0Fivj0e0e0v5i0Hg6iYZcTzqp9VYQF0k1LEUC1TpY8vEpcgRUH
4EV85AkJFgJ+Sf89Ij4GFM7xrfts9Pj8O3+AyoIAT8UHNNZnKePmniAm5Zkt89B9OstgM1ojMDhM
aBdJ5/g3ljaOJ2cPOU8BfnLOXeK5nkDvX2Xaco6clIBvJH/CJrvt4nJL0SLjq3V2q/tn57rSJnbM
+/jZiUjhbc/PPvfq7HkXZ/87fwtgTKag8vauRSY4zwUtH8vZM4+lV36lhUGHchkY1lOg7fWJNtr7
Z889vgGsYtnZix8Q6iW9NzQ42/I0xcnd9bE2PkRfIqqS+17b+uezw587JrA+qpDxYmD+H/ySRlGv
5RVVIo3s5nNOQOrIAFo3fvxzjsA9Rwp0uMA85wy49eJlb8/5g6nWWQRaaI0vNLaFO9rQHoNzamEZ
m2pnhOW0bT2br4nUAQee7MHaUvhcfaegpBa39B/T9DO6WDLIttxSiQoTsDznJsxzhoKnSlDFQrAi
JCRwtHXYIjvnLmb3nME45zHaczaDAkNyGjih+TNZLfGN+pzkaIIw/6pyzCcArGcMZLDCNnnYDBsj
NcADDBN/yToc0tvERPDVkBghX016ZI5acxOx/9sC2uNZPOdMHB05iXX4RNdBccHXkRSjhyI5n3Mq
4TmzYun4ynhOsvg61BKd8y3inHUhyR+eKh2Amc9ZmAX5856Tm2WijRh7gZpVHuvezGoQCZW9p+CO
VWTjpTvyE5SQtKLZuoJYzYoOleUoUxjPBlbDbVAZ42qYu+GKP7Q8AYQ2Kd3pmy24M3DBVgL9wOlz
ertVuISrYGxypETW91OaDfeVHGjSK2hPhmHSsKuBmpfcAR3Ot1bNsmrl+IFzYRaC65SThVvhhu/c
U4M9Jec5NcZ9R6wliN5EW/TvM5sONK3EArszi+wt6irvLlqsbloxHaQnBJ58v5DaWM+Qjx+nKbyF
yWS9QgyP75yk5XspJrIaoetMJ78Z1UHWeXRBL3DG5+4mJ58WcvZjdArtq8wU35p2AbhKQN3VN/TC
3hFxIOvoSamplFHKbTZLzHdnVMEh4VrKUmBKKf8CFMQYrbty25G0hDCStEdaXPIj+ycu0WaRVI9V
xI2XK5x766K1Psilso/oufRqd5j+FNg/UHepOz42BsmMFW9ecXQj2Coe5RCPhGtC9i8C+rsfDjXl
YFFCenMYQR/n5JOvoTnHJ4jF7u2Ifw9B3/chdNiumV05hj0cYugB14mg5GIVlikLn7yJ5o1jFgYJ
psE7hkU0I0EPaf8A1TF5GvJhvA2MyPngu2vdWnEb/GigVu+QkQkPk3cCUGEoaX3D0Mmt3srSI+ji
FHMf0JkV4rlcFz25HHDHol8NfoGmVw66UKgo9tiuMDKwBEFFdetNmMvpgvQtJU8ev8kqNEp45n1U
sS3M7eFby1GHkV01+Y62OX5P3EoPocAE0MeDgdFxqAWkdXYsmPpSLFu2mK4qhEprrW8uzlp6cflo
FVa6c+WY3lZSfHkMg5zKDYSezQQd9HKWk/esj88tGXG/JNIj1bPLoczf5dJU/g5XY/+ZSfgk/8Vw
ntdhaecHe3a40fx1J22O4t6t/59Ijf9OaVVp2uwp/3GRxCEpvn/E3/P/uG2/f/7o/iQg0iqof/HP
qGrwi6m5eZ6G3fmm1OvRn1FVh5JCugmx3fwqDfL//KYZ2rpjAh3To41cCEoJf3fE01JIfJXXDyKk
453/r3+hixBN9E+aoSex/FuBRVTWQjC1BMnXP2mHArdFrQCEsrIOKWv0upmm6ABVpzbm5kNydmxT
Mw6eVeP4exdSxKogY7PxVMq2AT3lk06o8pCNndhUor8ZiqDYy6JP3/I2oxV3cVm2TX3WfDS9iTex
a5ib1BxdG2E33dOqaeyYgFnjcZ1tP4OSQOQUd959bTiJ2sZmLWHIVgU1vtKNd6NRoEcMVwlX8gtp
BhbEGrc/4qc5ui7Q4tkqzV1SBzfmkDSHGvnixY2a4DMz3AHidzyHe9BVw84uLRtiZppPnxGg67fB
CYcThRmCHcLU75euig+ODFAchVnuSSwNm0jkV+xA/Bs7DxXRwZRNIWGTTQMmdKWYzw4Jwd9b5eJs
CdIJc2phu/OeAgwceEuY1E/jUlU/EmAfV71p2KfGHx5hvARAljv/1vYaokbCGRM+1SqkGIiQfQ1N
om2ZSmMa74GkpNoRPU9rcOjZSzfM5olzsz+VmQA0UIxXYZYkQF9dOgGJepLUq+MjQENvbYQLfJQo
85J37pLGNxFGPuaHTl5Gfhe+0wjOGT11jvE1zm5/VdCP9VKlorjiL5yf0+kRG0nIRY4prxXdkuUG
wbtaz7RIbUPT/5pkRvOGBglwIRwLAkg1XmVKeFTBFLFaWAdRUyiASrEH5YMyygdMbekuX8JgE/uD
+TJGzKONS6lBgCS4qdk76w7H7lALEHRE1fjRI4GTKCLjMI7OCCxS2ekFUvUzxfeshxJcU5J4I5kw
gmH9EtuvE4V+h0H4YH+lV9wkeZ5661YTBV1KL7grq2Ljhd1WwS3YCAq6toUT/xB8JNSAlbVzbVlj
ehzALvCXbl5ydSkuVbUEn04to6dptGDSKLt4nieRc3CH7qMquVxwu8EdiOYNGJ1F713XENFAdTTk
xmXdxU21HerPjl0SSSr230NU72iXENeLPRe7VLnTNfVtAytXoperxAzyp5xAOxEDtyf+VPCZUXVv
boy2HN4WJ64uwJ3VWBCBkCxJ7e9mZbZsvtPPRiJjWoDwaiy/z1k9VStawmDLGtGF087pRiFZ7Se4
eE+WPwfXMT9dr3PaC+RjRVdiEzM19pUZ3dqLJXW9i43oamlPK9AWc48INJLINee1VqBZjzvlB5SU
LqBLwGgOQKMh50002U9tdrsM1Udnce2huQa3jdoIszd2baVIy9r1wW/gpDAVPsYNuphVimPNWj2j
qcE1Nn94V/9FAkeHjf6wKTm/9YQpeU9bDrxFinn+/NYLmaIVl5twTzMd4MsRYp65qmvAVDyOJenY
HKuQKsTW7sqXfMrteEuwob2GmZPYGPtLCJbLqL5AU1HhEJf5RTDC6VwnwiDSFtloek3e7jpPJfbW
tWNZbHt4I+EKuTG7Jw7O9zk7f7fhaqFhsUWXUPf0e0E58zCv1WjLs0c6e/vnPzoXwb/72S1bsKNi
f+V40uXw+bs3Pt48afpZZO4tJ3oIcmZAPHMPhj+9kStMV1YFU9MBy37J1OMxQvJ3vPOJ+vA0tHXp
sQR3WoLdS4ymNy+QxFLhqA3p7/EHtWMRq2UQJF7DzRbLKmIYVEkxtG8+BGvc+M3eKbuTyIW/zrLk
o2kmOkYWi6XM4LdH7EPNJmcSPVFTE58Eu3NwdNnYbDNMiscSGoe7NjOz3/I5MkChamyQnpO9E0zF
7eCp4K3ys/JtHmmcV25evovCHq7ptWiuQZHHu1hZeMZ65b2QXw+PbgFwlvlwvOcfvR2J5eQlxaZ2
mka1bIKg90mZuw6KDGucCmP2JbUl85Frc2+sFFuLXdSLiNHZSEew7VG35o+tWA5k8S6TgbVvFSbs
jEMWu2M2wL/mHbltUYKfe+HQAISZ/zm102DT0Jf3xVYzwm+SZRcg6qhAqZ30ggbAyMUGKpxno3dI
Yyy+8WB3MLxhO0ecLRRN/GhSnA7sYtxnx6vK2xhq1S36GVBFzXsCohFfho3ZHgRpcPCVmx706oZZ
GXgYZIZ+5Q0WIp5S6m5SRXY9qnLA7JzDMIwlHUWwsDGCz037MIgcI6pYwLxUlniX4Ocfq1ASKg3z
J/ixyl73i4P9v2ckfyMVDVTFFv0lJqd4D6Nnuigj370s/Mze+W6eXGp3FL5+MoMgNmm6QNagd8Rs
x/rSq1V4Qyllfed6ymv2AIzmg1O4Ofsju2S2VYyG45LdDiqurlzoDxuc/DT7RXZ9mlwvuANFI455
Q2+SYvnu5uu2Km9mET8wn64a9jt7HB1XU+ca+xRE9zrlmFjPvKo6/c6KXN5eEACag43t4K4AOv/l
6zccpkAoCW2wrlRLAHgE91kCgt8v5xcj7RK8JHlTyM2g35ytfof6kAbjFcP6wosA2A+uWt63s37z
Tvod3Ao5nUpV8c6tRTO/wIn0dwB3eKNbVXOP7MOSxLSGN0eR4Ktyz6PpkSaq4nwwpPqMQMrBWZFb
eHUyfYYQ1k2MgycWlgmQLDiCzKBm3A2MuaeI1mq8x5l10E1X5xLeoT7XKGBFD/TJ6Dv7zvTbkzHW
9a7T5+TAonSTnk/Qso78d0UdEkcFzzRkMZHUFyBh0f/qvgCxF2ZqH8Y+rOX2fKQvJkylaDZgEZZO
Mu6sovHAM3T8FXnnW8OsLxAYML8WfaXAv8vlIqPKigIQzyGRzr0Dav4qDOJm7RZxzwCtJ7PQGKYL
PP71JtdzW+igaGHKLPY1Vx/0eOa79OeoR1UCBiJ22VM1TLo2kBlUdOnR1pNiGhUCFqsrr3u0svty
thgnkcDgpJ5nzAVJBwXY+QAGP94m3Zw8GXoqDWns6uDvMqv2UWxsjLDFVgwKOKG5EMVrRSegfe3q
WbdlqrviTscArM7DMHd7tsV6Qq7DuoDDq8dmlJ32fWrHF9MFxI85XLekEprdQW+1aJti6vb0/J3q
SZwOD4ZylnfjYxT4jOq1ntppEjNunV8neWZ6Vp3u7RT4zppGLJ4PPfZT2YICUJltfrTPukCRxGht
8einHLw1wsFZQ3DrMtq6WljgYmm+T6izH3ZVat1hydAgZr5oO6UWFgIu1akovhYf46yliywd+Bbn
WtDwtLShWt84BVruKDAan2iYccuV1HJI3bjRXRIZJrA3/3bRoomdt8V60kIKnWeYBM/qipK+exdr
yQX7EsVdZx2GFU7/Hjlj9FZrmcZk7Y1YlFE7goZD2UJIZxuyTs+e+gJrFA+/4fVoOloAMs5S0FkV
qqiXZsU1u/I24ccIs1Qn+VIcfmwiq3T5YQqDpVOPCrPinYjaVGPi3PlagnK0GFWRWDyNWqBybLo0
IwvRSiWoypUWsryzpqVKn2SYFrpaZgB8Vu6JmqOvAioBQTV7zwGG3h1ojcxrHZ9vuxbOyhT6XkzE
Zc+bh4t1mJngDRIsDVXxbEk4NLKxhsM45PU3hXH/G1Cg9kd2JtcYZE7GfgEkZj7b+JdzyuUc9+jI
6grfwQ0YWs3cZq89TJO7zfA96q6eMydnnAKU6gDR6aKtZX302SSsiW86LA1zMvd9nW6t1plfE4Pn
1Fxg8UzKoEFI83lEm8h9hO9XrfFhca1fQPOu1DSQSgHvM0AE3NMeAEjRmolatFiC61lE88Wg2UCu
pgTFzC8TnDHYQWNGq/zazjr/EgGGtw0sw/ShrJXbrRbFJi/VHCJwiTX92bCJglRjiozQgZzrBdCL
4F0n33NNNAq9uj0JTTlKWWeupjEPj2oAKl9qGpLPDwobIzXA2DCO3GQubVVl6y1bpXlKdbhMDE62
vcKrOR+nIBD7RPNI4bJ6L8UZUhpqXinw4nnn0KW0s63Be6NnjIDxmKQrOroy/Bz5zLe2nU2gNWWM
h76uumOaA1oMh6vFM8llJD0EnND63o8Ge5Im5HisH7vMI2UJgLa7F1GL810lyfKZUlAOas5/LvqS
S/XA2b5onKsaW7X3zYb8XGxPe1NjX5MpN59ZkDekxDUWtmnHllfSiJYkRX1XeyGIH44Snm9qG/tH
5Inl0a0HNqKZ6Q9rkvuXbHYA0FaaRZuXlbhKGdlXRhi5V/SRi7vhTK6VZ4otzSnGA6Yn+9bGasDW
7z3sCDopnVwT0RK7N4Y7y0ObZFyLjPKq8NlImo27YT2LA7KEsOsmA8VHk2DGmACjFs7nTB9QugvO
tF5jhuqiAs/a1BTc9xrqy4Xwoofy65gDnvG3CjsiYW7SyhYdiCL9Sp3oOtOEYB/H5Z3nhM0rzxeH
l2YKYyOJLvK4rF/McWR/BHOfJa3BObsP+Ea/Lk6nnsDq2a+4Yp1vbgrEuKf16dhpsDEnQXzpatix
H6cWbZo54QCNQqbR8QjXkJomcl+rYRriuwSLA8o4SGW6VxYskqDkWw1dXlJXrr0yc/KDz05m4Tz1
phcoJmDrysqy15XuWox0mCGHor6VmvC8GMH0APYT+qNB09+ce3I3gRI/yMphkI25yc55OG/HBAos
d0ioYeTjQUy3eLRuHQg5tAoMEwEAYIKZsOKnNuHmN4qe2GYA0dqXbXCI8jz2EKLpmUlCc9jxZxCA
h4Bij3WfvjRnUnY/sfspk+I+KnmJrjBpLbtRH7h4iGh2t7KnnH6iUya7YZ+FNReyLIZVDsq42khX
PgZkeLbLUBMUOuO8O032dn6FfOeGctcFPnQ2RKXJC3tp6XtywbcAxRXVug+KYVyNPb0oMzLo81wm
1NhhBPqoo9I+xOyr9qH2NHe9O/NVSYpDKVh09GUJKd/P0nCVVrzNlGrg8mQOPWFZeCEskq0lJdhg
bnDj2yzGzWMELNeKQ0pRseWKbLK39JS9UP0o17GnTB1PnE8ofOWG6wNuOW8tglzx2RascEDlF1dx
JijVVKO3QSdYtsnkxIxJicds7mc5DahY9NIytI6qrazPZWCHT1C7/IpDhftBQWjybTxsjRFakAlD
WhRLAJGfIq+y1zKhHpI6ChHeS2MEoMxF+5ZZpb+QGPaPJhumeuW4nf2cGnJc91FSvxauTSdinVcX
KQQe5r86PdQ6q0wpab4HUtVckm/vDl1COnviKjmlHpYOGSy7xUutPd8w+6lnXLvtjTReYY9ut0mB
9hEHLK1NlqJ9ml1UwjlN3WH2+TyHMnjtGhI+TezfixJje6q89NkFZHuE4Ztfegl7TmRI5xiSkYxs
F7vDP5+FxV+NwmcWBw04gTADbaj8+H6flFH33/9p/ZdKSxGG8K7IOhKRdmTqfrQ0riWrhn1+sApa
5l87n6LHyC0pScOLDOMqjmvjLlfZ/O7Cgmq3uXTi7Zyki6UZ2PIDTQeqw0BqnsRTvEAnL88Kp+kO
TrXCj8+/Xbn+KXEqWYNNU47x//V40yLoLv8pQHIdfy8/k//R7Pz7r/ypx7v035goIERItByvAZE/
9Xj3F8/yhWm6Ps5eW/t0f5PjzV9oYDaDgAATTl1fSyodi7/4v/8TOR5Lr0Wvs+0Hlmta/xqg5s8O
Xq1L+ZQ5e07AnwJ9SvydNjPELh2eRTqTIGmbp6KpvJcGs9aVT4SazvWgnV5h6r+HmdX+8Fu7fFND
R2huRFbYyk5VWDGqdus58GFbi87PsajBDvtJ/omKMHw7f33+1xhI/64Oc+v8SP1zW/kVhUX10P4d
KIlnWP+yX5/EQFIJTjKO/kgHYuj5qfr1SYSVpPvFA8d1pPhpGf/5KArnF6qhWCaRHSJbRrrs90dR
2L/47E4dfkfbcQObVc+/shk6a6B/hBSZrsN/BpITlD16zn398vzDy9FpurI2zIzGwpajciazu4Z+
eYL8YnMtiUREgeT0mPlpyfmQO2ugZ9NTQefDQ2klIM+D5spofPg9YTFdeLAQ7rtR3lklVp5sQeew
lEzwr1Tmzim6CLmpDSkc84urPjOOXauZwIM/XNDScW9AbeJ0njiBIQKtHIqH12LM4Yal+DlyJoCU
nOBMiroZ5M7wkmDZ1MRBcA5hfZpCGiUXNddXbSrhqpKyMddFXGliW5jukzrzDgZ9Zs6BmN/0gOMj
fknq+kdGisrb4FNrqD5M0reEZnHFMXJIpLxOKcWj+QeAqvIL+C227DalJBNH8mojBx1pRKpZdRz2
92mUN3SGQizH5rZShUXFUUJEmQsMJtsmIVAcJy9Qd7Dd9fh4ID2APe061eD6sckvtzp8H5ATxpK4
a0VhrTseEeCvfVHfmyr9VE4nmXnCcG3HM9l2y8S/6XfmW2GB316RVhnZZVURXSoyeqBIed3byngY
By+/G3PkL8QN1n+1DM07B3cJkd9Ixfma5A+lAVarf0+hMLhjzsEdn9HiXRKw6ee7EFfbrm9Y+dFY
0o6bwchdccgRmgyutHl+UU95n4L8FFmyxgzFlWpJw37cxb4RXIwVQdRegKU9djCe4j0rtvEEa6YB
mRIsDAMjrD+4VZ6Jgz/VUtVKFpIoemNPz2U5Iff5QccgK72GOsaxKEjUzsYc3PZelrmropFRu6Zf
lq0HUgWXER8Ly0vfue3V0veSVnfy3ska8Lm8iUHNW5ueIBignVxX1rZIo0E53jDFdNbdnPXskoK0
M0j3Sy/3aIm0QJ8GraXUfUqGMD7QVDQ0J54wel9zP4ooQvUacW2Amf+q6qS4QFWPIkzsdVvvR7ch
ZJVSonHqzzl/xVBN9lIFd90YHUHHMirRo7qi72Lbm32BpmXrtIUXbaV9zfn2knfe7ZSCe80TU1A7
0x7iHmO805pXRA+whtrV/WiP72EtH4bS3c6WnK+TwEZIzXQ1VHOZRuHGzqqjG1+5BXu10guyDf26
676lblIK5Wz6gkoxOoXt22S2jR88zhTt0pM8mrdULxqbcvLvTLOpdxW3U7j+5i4oRL3hR/2yl7ui
Bxvs82ssq34pDJHedaZ5rN042ai2JVMSe3KNFkflSWZ8yiTPHoKahiHX6MgezMS8ceM3qsVh69BT
zuU6X1Gd81jYY4zNGYqnomX30Giql+sWZBdmOiitourW87KY26yvjO9SaiXC208lTNnFhig61l50
KH0Tk5kuUpNpQ+llgP8uBGB+ZSap+xbM0YPI6VvF+TLsVZjXfGXSXSbpSrFsr18PQ+h9LHIhw2LN
W8ufukshUgj4hITZCoX0snsPvPquIibPld3M4pQl/q4vnO2MmArkSLh7whH7ovaHvXTNz1zjWyd3
/oF1/8ZmIQenQro72fmPxjJaPxRVUO94fr/+L1dh989Xj//D3pksR250WfpV2moPGeCYF7UJxEwG
GZyZuYExSSZmh8Mx4+n7i/y7u1IpldL+XtdCMpOlpIjA4O733nO+EzAD8yxkkljtsCRdIH1/Xu4l
Q2CDCjHcGwnJJ2mVixU6eVoJCWOIW5qjvCXG0rvUY+hTTmY9Za9QL2PGnQMjmFUFGJR1svN465hg
h+dcqD7cJFOhifzICGNaEfRXg0gZivm51tKij47IBknbOMaRr0pab2W1gOQB7EFffVJ6OBYWTNxd
mniGPmjLZbGQKr6iAT8MW3oCrCZwVFhZmh+rDNCg8mqqphS2Rjf7AuTKOFCDaYnax3SMbQDk/77L
DWycZWP6B92A4UCAnEA9wQQiumRLC6u/LuN2OxLRuO3JF1/h9bg2nXS8ckHtgZdKr4huzjcMyKeo
EGG6rsifiIQMyUft7XtGLpzVWM6uPRm7u6YREvExxbRVZ+26mmhPSikARJNeZOEiftJDUm+IHCl5
VtumQnFQWD1ztaEOe4gIGfCleOFt8cxc83Q7AauQg+epeMjm1hqv0HIjzc1HF6MDor8p9HRkNkbF
ACsBW9KEy9mLqfdbNFlZrfMrJP7OuYcITGEeJ/ILiwKyjMbHqFFT4fj1gl638pr8dlB98MHMvd9k
Mr/TjEWPnpnJNYk/uXUyHauAnJT5lzSFzswJZ6mWjOmOIM5+onklg8rY+UPqYAEfjJ2FJfQcGzg0
az9J3gGh87ZOWdN/nV1WL3xi4jZ2e2y8A1Oe2rK+OWVMXskEObXFNEX/q9LnMiXxOHPFrqxquIaN
dWS3gy/dG8NVkBDw7U262YwpSY6oUjJtBdDLZsb37muaLNOGK/eC2r8GcZ3F/BLCMoyAxFWhrEdC
E+qoALmunTpnn1P0Ze2PxLTGLcEw742NuQktirUjPOZIns86tfJrvDtXbRW/xIm9Dpr0UA/jN7Jp
IByGN7SSGJP2vbudlv4DB4x1UzT2Z+0k4anoFVMJ39TbgHnTvra6Nzdo22MaWCSAoCT5mMNwPA5e
0N5VQAwObUtLKFdZsKoqjAvD0L5fqglCLeyPwSlDxAHai5oiCdaVlWVXTm6QpFElu2o2LQKXwxOI
j5lmag97SBrz2vaBydudiqOmbyVzcA2DUvXMtCFehdzswhnzTReoNaeELRGC3WlRll7PBPztfEdB
WJoEnNh4Qm1noV2phLw2rJm49dbybqAEWXcFA9+zyygBEUd2MDpcv8mIWA7Nn58dvdAVI/LE0vls
4xLXfm+p7/hzSSyGlr91CG1ek1CJY78SF0+/m6wxmeW7Zpyg45KwPH+ZXB8kgDfN4sX/AQoYNMwA
IiE6kDcOeleZ5TmdkwtioCKmKcr7hExBV0yt2hka2NVluF9dxZc9Wl926+LHxq1+bOLejw3d9sFB
7YMfG/3wY9NffhwAVIIucDX9OBg4Pw4J3uW8kF5ODv9TbV1a2fPjrD7/8z/ePsD7YR/pdPbe/Vw2
oXOzKMX/eyney2fb/a/Vp0zeyr/57/5PrWX+YXoX+R1W3EupZf+/qj9w/wBLDX7WDdHb8XfKnP9b
a/l/CHrc5o+CXPjIuf+r1rIIxKUMDHwqdnpxzr8ViPurBs8LA/tiTKCaI37X+7E1/1Rp+Zcs2DLA
iKPTvtg2Zk46X8L4ws3g3XdyPvx0ef5G/WJd8LI/VXZoEFEdovVjkzfJK3V+IbLkgkzA0Ax9En1a
QD6iyD/B1DZ3gyVhuc7Eh+JPhBbb82/RZp0HemHkoPbPi45LpCnCfiqGOBjWv/lev6pyLt9LBLCs
TVeIEHXjn48gYdtmTj5XwQ4O29dO8j0s7LErf3H3At13CBOc4D1bb+OsnNbpfHI1wK9//hLc079c
G1RBtIGEh1LmUl//XPUWQePFE9PLncomct+KNj7Crqgf//lT/uaO090J3MC3GYNgc/rzp/hc5DyF
OEeAnbt3i/ElcLCcjUwcOOi2428u7N/8JtdGg8wdJ26ZB+nPn6aFtujXomgP0Rltp4AwIuw84jef
wkv565ULeSNCWhcXH7z45akSNKUaqkh/56YVP6OYR2Y4/f1QZe//9sWj/eHhpuf3BJ73ywe5xsIV
vTy+cYYdvDLy7xCtGubk8ozw5ub/48MgNNMRdNxLc+XP127qnRpfnePvapvQvxIjGnNyUayrBTkJ
Ffv+nz9OXO7FL+8mpAvajA4rAuvUL/cqI6Nmoe1MKhxY/pXmCHg9+rF5j+vIO9T4wdZKNt4WVif8
55optGVW8TfvAlMb5dTc53h5OF9WkDYK0MaQZBoV0bxENOMuy7kTqkKpj6+vOfT5D5tpFXQrrRYO
QPVl8qG6BVmti6pgZebena4qfffPv9H6m/c8dEMPRbTJWvyX53GUGUUlRe8ukak45K4RHObBNSN/
cJ+MWW5VjqNY6uS7b6dq44hCPI6JE/zmUv/d8xqyciPD8k3X/jWEHFecI90Y7FvJ3OswOdmNJGKA
YUXq/asfT/8y+azP/7p7PwO///pJ9HPZP8CfBy7X+pd7mqq0HckwCHY+gcARQjc82XX1tU1NsfnN
pfX+Iuj2aCALbDyAXxzb/9ef/7SZNJVlG4yK/J0TDmJTDEa216z4Z2F6071n8CAIPIJJMTEFp0gq
1qBcCGMlAhkfWA2CMqTLskMvikQKmJr3QHSR++Zi8duPXt6Vkd3080PYds51B2HlqkirbCc18Ygr
ZRH6si2x03CctKDcVD7jpnAO9iqlhmW4N++Mpm3WWjdIK10NmbLpzdICt86ocjd2oomSyopPfZq7
t9K1AFGjwvFI8ZwELtogu41pj79dCp6DM4SgSstw2ROwSgQsTqJD0XT+a2Yvzu2I4wVAOnWNEZtE
RqAEODIXiE+IzIi07uxNiezmAAGPKqHCzkg0unp0hFavopcKJq8JJihlarxK5yaOZD0C0ZXDfEkm
Lfe4PfIHw1TNbWBWWEEnxGrrQk+LXk2j3bxSTccnDan4mTYWs9SqwR86tghwY9P+Uhj5iywFKlr4
1R5wQH1rE0Z241dM5YnOsB2D4eRg2ViBh0TcW5SJhKOmXnBlcsi8XYbZBGDeeKS46mLHz1FRMOBa
jcsGLN6CjfM41NlkQnEs5+sQ6lO/Iiu96tc9eE8/6o0m25XNOHxyZOKajLYEPE/0dg3076bp4phL
Zov+AFKhfbFQ1T0zG8kbRvCKjlWszRB4HXhGmn5h9xSUlXPooVNFIwV1pOlrA8HxqovShkFtlgBn
jRqUipzqEQnRyiV3uV8XA7xekYR6KwPut8D1rFeD0bpvsVeM64R7yyI0WNnGUa77JVVivkLv5nyx
0wYscYAY4RalBtL2YCj4HITkbQCroWXKqp1Zwy9CXvM8tpjDnm27pMAxzfy9cS9oIz92eeLDIUco
TxlLYZ6OigwlHR8rKsfScvzvC7ignKYrA8O12VH07wKh0PNjK5uvRVE1xwVhTL3OsDTwCuHPTeOJ
oHHU9mLFelB982x3CCkEY/J5Hd0cdFj5KzspkOzE5nTyFgMlVk4xCBbQWCjbC6jfgYxvqEGTvWvX
A4BSafF901FDD0V4SvZ1JUCrrQwjW67FqDEBWc0xDV19laB+e4B5Bws5m7fAUNJHxp4TsSOqAy4w
ebDE6mQbNl24B1lTcX+nChT6xPNRLgVfFcgpVlqCpiHFAQS35+aztsCVZL3OOJ82zdcwppPEAdVu
DrDMYTIZuaANMiD+t5B+7gykBchZaQOhGilOkKBC8p/nlIYY+OYcutLKbrHXmDrJaaMDCQ1sHX8U
9oJaocjRoA65iaKPW/wQ+7a5x3JYbsaZZp+BUMrhKKrfB7fq7kTYzvtwNAhwaPtgA2rG2hIbZ6wA
R2zRyiHtRIV5RRwj2WA+EHPd5zDS1TEh9fWqrYOGGfwyMpRpkyCK8/gpmQfnqtEWyQfFLK4woob4
Uz37SSxutykToFsrmtW4q6SO98J0a8LKu2wzUWziIzQIlCxIZvMUh2OUZ+lVooAXBkB3gpr5Cbve
vBp70qV0vMgT/GRkNcpBoFEztF8lHipqcrLKC34f0sJUcfC23eWmtaH9wa9YHkTjtyeF/O7bRFjN
yqSbGrHNZ3SZiuncQlM55ALGvyK6ZdUDn37yGmdBfk9Iipz95ZSE+Wvvhd4OAOEUod6Bs0LWRFnd
m2ZRHirAYGiiLqBDpNXJMgy7sg8w6dje+ClHCe+3UAWk/aA3rFd8DvYJFPlpxKKyDhQV+TRiBhDO
bF2XHZKglYehcatLH/h1WY/b2oFQ3lrkj+cWrPxF6+E+bpXMttrxW/wui1jl0vg+oe6qRt995JC0
7HqSdVduzauMoB0ZieduRrSyJ0d2dyrT13Rl5pVvGSpCiQZ7LZZvVl3rKOWX27pgAYIh1Dh4AFsC
mgneIh6Grmxk96N904x9fI+gpNr4MSK0PHBOTo3oGfXlsppsb0Lj2Ddf4zAOIh+6WeTN9NPcJsCq
IWGPedPovUofVItVJjM2dILNo8BMYprnxJ1xrJqleuJchsJaZva+9GxsSNlYRhaLzQ3JCaAIGiN8
SPm9XzD0D3pdTKXmagBimFjOGzrKVtmTVI8MODYBlGrilryaK4JXa/HPJWmZJbvVol+GVLffBC02
M2qQv/UHkM5TQP447G402d8JPZNY8z2GR37/Vi1lfeB/h16b3vU2dzRJYC4afIQ396z9a8hFFsG9
ZrNb8jaOhB0WX+ggN0eRxDAh+oXMhXls1kWZpNssI+7W8gJe41FfabwBt37pPA8iw24cGk92OarI
ZpM/I1UPtu0S50VUINL28cOOPLmkoQB0cJoH+F4P6D+QEqvcgGi/mHsGJKTHz62zr5q+h3eSp6zy
DNp2nstDMTRC7Ih29nYsKQbpty1gQSXK67mrxLm/RMRKM5VE6TrtpnFctMMzwj/NajG1Yf2dDYmE
BgnBffHM4SlhCAyMnhnepy4XOH21yVwv14S4L0yRODO6xJMbQb0PsKcdxqz9TuZcfZwIzn6wrbDZ
giU5Z5qU0Xlx3agObTSQlmUMzzg5SaFbCpBB3JvbJpjNAw7TeMsMUt8vDOq3NBM/dNj0N0TgJdsy
C+UROWVG+mnewwWHJ3UJ2MZ0AxIQdat518CFiVo7FdsFq8Z2iV1apImTyGOOOycKJmFuLRv/wSTy
ZUvrvrgiX4FhZFcRMRPRv4I07cb1u8DKdBVLUUCKRe+6Cb283MUytA5OWsPuSb2rwulfZz3Vp6me
bjDKtB9upfrrRtkK9TChZdSGN71dt0Rdtu2b3eKfqMxmOIBz3hW18YzJryhWxPIlm0bG8ljHVb5J
FfElSe9BLW+n7ibEn7MzL43YSSVHOVf6yVFpsJJpgOoMENFHI8eFnZtDAfGvDKrQNI9rJVibC2YV
Nz7i5TtrkBDrTVS8QYUzZ2WbJfodFw33lOoXNTMWqA0id5glRxXg+zpl3V66S2wchgddT0G2GpDU
DWE3RCUyxHZR/klgV+Ezs+yOg72rcUjHNETji1rXhk1RTfK5zQ1yrH2Jbdd8l16270erO5T9TJs6
bcUeBkeyocvLLmxPzr7L3GVX0kjsQ39Lo9vfzt6MUlwpIziGNbh3QSDg3i4fh4m2foM7bn2Zy8kG
1DJHeWCdSYhWO83jXYqOHIwlOSi6ct874FevfgVuSJm8zWicN0u+7JkyP80dTPh2mMHF9M8BGBvy
tPC8DPpL2EFStlPjHRPis7CLk8y8h2Rgh8oq67acfIZTn5rYSKLLs36FH/2x8/CrkdZ1VK5/nbnW
yRALOnK/b0lNM641T9A1hs1iF4928F5PmP4TUUXsUpEM1IBgu6leFvuDbna5DUSDdGq8DDUajIS9
OxvcwDZ77BmgsIoxMVmCZ8YT/NW8oQ/+OtXudQq/xhFuRyve0VFfakKyq/QpFSGzzuoRJOsXKRoA
BDCSXRIfbLBwK1PAdvPUMG76YWaKkTMYFGj7145L/yJtxIGUvuZiJbrPeasOZZ5+o+1w8MZ5bQQo
aaHyrbpmGNZNnsZ7xmvDrQwT93ZWfvvZlWVI08w9FNATjlA1ve0Qj8TDjvG3wvYpzCn3H5meQ9yg
yOeVNVzvHcG72latE6GccPG2m+VxLkryPOIxvRylPHSf9uxHKbbKdTvJfB1YQE9CKU/C0VPUyomz
Cjg2GFKjg8WFEqFFjk5Vb3CG4QfnDLFYCsieQJUi10vN/aZurVej4T8EXnLr2GMWeUJ/HaBftB3n
fOlx+qwK0WP3Y82n7x01dnifLvbJzuOXbiZCwyMtQTLmiBKDESICQfI904WpsCOfzA5YoCbuQ0y5
wmOF4BOWDal19TffcF68Ek/MotmzZ9Vy03TxrITdn+dyqJ4nmqGkYCGK1WNi7Z1F1BsVA6lTTZu/
ZUPfYVMiJJpZQX70JebH2cdD2GA+XSe+/iqtfmC46vFLzXxc4aO9dS1S7NHV18yCy/67j0r6Frk5
pzvPLrezaQL5CMnlmQvzJKlZtjBXg+MoL4Jxr45coc+6o8BwVdC8Igh0dzKN+x0tloemT4g4VU2E
L+Em4Hh42zZGv5lYOwBJxN6pDplYomahbs4s3VwyVuRKg9zdmh7FcSD1CxOOZdMz69+KTJubJO7C
yB+96VEYktJFKs6SejS3MKvq94kfdfS1XzL44pYKq1d7kRr9jv3WvAEUfRGsFvKIM0fOS77xLsJt
c24INWr7/FQgUHpuobY+B6RkxWBS1oTBD7u0tM0XeLHdXpLO8qDUoL+B1krOqLu905zZKspt29gp
+HO7y9A1GiG/3bg9wzqHNs7aTxEMmw0Wywsind/YWq3/BFoO8W3S2VvTyngMW3p8UWm3lbmCSN4f
2grlBfryL3PDUTGh4/XOzEZussaaiZLhKNRRIu/CHK/LNMM6LnKz35MJ5a7R5HhHJi/zl34hBHfU
HvGfctyardUfYicHaZFfrIpVMp0zKLacFgt19P10WMsWdwmNKBQk3HFk/OFeDK61ZYhJOkA+9rta
tNnJmbQ+5Ga5kYAat4xXwQ83lb6q82zY5JnmXOna1Skcew64pCVgkLIgly1xelDLBfM6Me+vys69
4nPmTZ9h/VpcMeCwGYNjHBCR0fbEypLsM50pwB7GVtgEmeI3w5j+gStjfLWK5Kv0l/IElCx+KTEB
UI7r+xASRXoJS4VTaPTt1ir0cGWY7ZMQLix6rz1KUqoYbjubNuU43DrzHOmYlhtzMFhQZqNToPQG
vSGpW3tT9Sa9oMqw6DpmXpQEksenrhUpbXWcbCn6nJc+0daaR1C9DDnbdFzUuMckKuwmramt5tyT
d/Qq5JMyxhAteQpSt0jt+2zIUI40jb1JAR3PK2bc+swk/VtTEiFBPw65u4ETrXJUHcF0yRF3+6TQ
qt6/Llqpydxqio0XTsVhmCQt0Sb2No1R4+czSIdTLeIURpvZcU7B+yGGqX10PzVafLl8HVvM+smS
zK9prSfUY7mmw+F986eaca4bzpEDV3jTVra6LW0CS4phzq69gUoLKkN+4PG7I7RQIRKSSbOfEhsk
8SDzDf5+otiGAQiKUdBRvSqnnmg6p7eHuzk3nY8hBzd0NJZi3pEpCoHA9hb/1ZKTSfLG6E/uhmFk
9r3mIfOhsM+5uk4TBmgL4UR+VJo4VjeBMXXO2il0+Tp6jOUNzN447Lvl0RSJs1Mk3T7BTHXWTE0e
CJRgzQx18V7FTbrNA+uSXz8lG1PC1yxa5T7FhbwquuEmqCx9xDlAABpTbx5Dq1xAh1XhJsebya/w
ydOEB9ekYPvK+pkP0k8VHpDX4rJ2WgTtYcootnA2/WsiSCw4WWPKMhd08gIdtI8dKv0NU9N6Xjuk
fu4t2PZPYzMvD0U8NI9ZYTsnswpNQNyOuQLKNIP3zOmyt6UCBK3CSfPRWb9ulhhcHWFWrImVyf5r
1GUAOjYkgyfxR2OTYTtCJ5YSP152PckAPlE9BK8UMdQqNgOkAr2hVoivSlBOo3rzCDYmTHX0i0ef
9eemr4L+U0vXwBBFMbnrudTBNft3Wmwzoe9jt2X1Ku7BdJB3AfOcFGmaFyo0k9Po9mcnsdw1nRym
+ECgVstg3NBw9zFOjFE7XNLkmCNsDXfE+VqoBoVEslaYQqIe+0doGCTeTIUL/SzENOgmsOQBcT/7
xFXgTy9sgwJBeW8epdQ+HAIRgSjrcCl1hLUuXX9PSRnz/lf5rkoNiJqN4lt16es4s/sJtwekaRXm
jtbHx9IK3OfTsMD0G5/7Od03Yzfu6NSC/A5i89wKHBlook1U7Bd8e+Y7e9nJEspk0cCfyO69Tvab
ehiOsWNORsTTYmFPg0RPV6c/ka0svk01vLV1lVekjBFl4u/wwkPkjE2FJwGV2M5HslyzeJnBh5dj
BehnoV5of6g7iW/8PoFQ8hqEQY46pKUupnW3tQbt33KWQy7XJMG24u1bm4P47NJE78PFmm7dJYEG
hTU2BiyXccKnX66uJOTBeIUSEdnl0CKE2vaFNIrNmDQAxYo67LrvhWNa08a0wGasvZGYiR22X0Cp
ra3CJ/bSHqUNLkVyyOeeMriogW8eunBGQoT0gJEq8PvVUvtoWd0ifyq8ASdiGjTXYENHmPqXiQsY
za8z1ioScMjCuahR235s792RmPtKWeYtbRGf/3Ub0r5o6ei5vj/RROcsGyJ3gmR7qwqW6VQgH2Vm
GUkt14AphlsAsmtg/Tga7XxDBQT9lrC5ftFPspvCJzmNeBnaZM5h2Uv47r61vFZyellaAl6crhDb
dMjWRgvNNEDoG9Vzlh2Tmp4QA51DUmbGczsa2TrMLi7SoSkIzF4ybKxYX6vU2XY1VRcBQTlxmyHF
7OBgnmxTbR84wQ5yhePPW7Zmx664qtsAWgeqo1BGoP5wgLVjTxKEkfbLiqmKcVO39lxvTZQt0BL9
MH2wfdu94tBXH0TuEXeZperBG+YK/FfnWSCXKoQkEQ0PD9VvL7pzayPYYQGzvUcYZ81eFwlFpKZa
qdcQgvXRwMMJmN+8ZJYGKImahLamOfreK79r2XZzRQhUg3vj2V6Gzr5ULOU5NhNIndAm7Y9ZNBx6
DWVgZyU4WkR0FtUTcd4slsVwaSEXdmx/d7wCBcoYBLjNmSGwvdEveXGnwn/toO5dM5GqT2iJ/HsG
n/7BE7b9ZLpJotaeezHlJIYzQjYp2/DLMAc1Bxmjkth5lg45s2NmtNMgGXLKr3i3EI/JZm0gI/90
pGM/9bzCz2QpIa7xSYJfdWFb3QIrEYwYANcRUxg6xUdjuOYhnuZpbzIZecgqN04I3jJa9p3a+zr7
jn/rqrz8VvpLTMc0SW77qXZee8MeqI77pHrLyU85qsrhn+UY0oYoDQom4Kd6iEJVuw9h7QYqgulj
vbUqEftRdwPBDkRAnwszphsRNG1yNhaH3i54IIFw59lsw+57LUX9zBApfqmSqv5i8O5vjJYrn3M5
i4PHSXKP6Wt5iWfcWDKBckNmSNx9Edrw3ugCO19LohCjgcgVcv1wMDstR/jFJjZP8ogcFcFJbCl1
vqmQ8X4XSzBGBn2bSOLVQI8dONABGqxlhltB1pnA/6JdDL/klgCI65PuZs4BkibazCgBjU5tVa3j
t4UmCy9AXTZfyKmOjzj6oUJzE0gl5AAIKqFq020yuI9sXvJzkH199iR0FYYNhr1yXZ1sOOblJNIb
XzPaPUR2I6Ogd2PGYB6TckcYUX6DjgNfPMs+bPFaVWfGZR1VXkK/y81KDiVSVOphbkcdrsh9D7g4
Lk1IB+XtSXRjeXDGOThMGE2OmVOrj5xDWhMhSrPRxVogLFYCI8ljG44mxMOiqk8sGCjDHIhDZ6Fm
Xe8okydkfKKhiq4rN7/EI5UF52zPF+8AZMc7Gtbj2TTj5sEd/PrTbfryJE1ZHJc+JmTNcYNT3ClF
tp5vEB9nDfZ3t+/qz0IUI1mHeAm/SKQnr7nWBLGUto9cNEBAKKN5dBySZyU5vTyqYIUYkD62bmPl
AA2AYa8crNH3hu6c58Svqg+ZkL8U0hWVLSeSYVYLFrsyIUjMRuAKrGac36o2TCEG0TvtOU8h+Pdp
vS/7tqOt54ZDW20vvHZ6WWrggGF4ajGPeYoYnnBBJPgrQi+zm3nqXKCeTF1ZIxIZbG3iUGEas3+t
C/oV23FpeHQIcqpKsBBsNqItGEQruJinoXEIluKREDdQBmjY+YjuI9fzk7deKyIlE92+Otas8nXl
Iz0cKl3fp9yoYOsErfPUMiCcNya8hQ+ORs6wCpFcvueJHGmulMrH5eeThxcxMZ7nLU9z3u5irFAs
ELqdvAj1u/e1r0My2xVH/quEeNYnr7vsbKE37pLFoGtvSCs8Jv78DTX3smJyfFGB2zXvCWckfgHD
BEt4UX1xOtDHnpjj+F+Scik/dDLGtCzRxqbejFTEsq7djhYme4GjvZ2NJzRd+3SwBYJPTM8rmz94
tLphwBk4gzDfqARQ9qq3/LrbOGlG66wlFzJunfLgY3cUUZl0YLogAGabCjrmu579mV3Xsdj+Gd3M
V0VhlJE5dt4rfgO2jzyheKsAahV7XRb2R1525tWsHUmBu8zWboanuLOLwUNy281br2QIxCMpD2PS
MyjzGaadvZB2JjPInt2kjdv3JVeECSth6JfcJxx5JD5zVadEwA5WCMTKCY85aqvzuNiE2fCz2+Os
W32a5x6qRJNR48/FFn04fEOmfTtqm5rsGrtV35uASCeAFnl2xjV6WzL33YmkuXB4CIhFV29Me9Jd
02HL3D4l/8t5c2tzvje83HnHgd2tgKZdzxCcP3rXzp9sHx0yLOY6pPnrNK94rZF0JrV1U6rauE8M
8Tshxl8lL4AOUEGxcQsHO+ZFPvGTYoFMTR9cRxNcanqGp1TMZ9+r09uyUxn7NkfV28Ey8iektGyl
/yyYcP6qxOLDA48pqIC4YQW/6HsWYXhBFk7BbvZIFww9pfeDbpkimIzt7XEyyUBM2VprMx8+xoUt
RROrsFVDcfF4t++Fat0oCCqancrMiCViwCQnDzAGx3jmzcI6S0hltGUqD5sKO+qy155TH0cnX05d
mxHkDjcFdgM8AJRaZdSPxcK6wgmYvZ44GjK4xA7jsAFNxELcTJT0qtckv5qj+zj1FAfuOFtnoBLv
uaydyPCHbk8ONiKvWpKCTTGGVGpCf//Pl078VUYIOssEJGXbgu6g/4uIreJR4vI5nNbRUFI3mGcH
EGUd9fl8kBaSpXFGm2GHzN0tmFZwiPt5G0LoUDxMDQImUPJJ6GPFGmSw6itvg/1iOJh1CyB+Mq4m
kgU2QVlwALbzfI+/2f+NMOciJP1FbYWpk4GWE/B39DkX5dxPj17GXqKGUMN61YokKglOiKTfZUqv
FqO7t6YBAxKbM2HZ0KhgafWfTLx6kPMXtR4NN9eSAMraEVsR4O7fCJT+Ktu7OE6xl2IbBNDyq0gQ
MJlBEE0V7gqLRhWjyCS8NmOpf/Mx1gV29mfJGZo9B8UjrwBLOxbWP10EyHMG2QQq3DH+nMkCE76x
H0fdr6ep9L4JCnjWyEJF0sIiBsDdu884hE6gHBrcb50Ib8s5KJDN8LIoEDy3gIDNmUzYxdg4mfmo
uqJ9/udnz/r12rBemxa+RKSTOFdYOP78nWG3LDQkePYAT7IowLxwI9+kOUg0HxYmypDnsLitzaz+
Ui50z5j/mFE6lOlxJix8jZhh/nAJTrj+8b3+xxL7G5G2hXeIcEmTpf2/F2o/dQRaE7aETftnofZP
/+2/xNqB9YeJOBZloPBQd1ouDyQajO4//8P3/3B9KKWmZWHV/tmhbf3hcIYUCIgJrbg8E/8l1Q7+
4A8CtMWMqS9vk/vv2GI9/1fxomUjpQW9ano+Tx5S5T8/eWmMc4/AC4bNuVuVO7/0RrLs3drYEbPi
vgEVFHcWYK1VowoTjgTwG1Q9sye2WEQ57Ln+eB227MzFwAkxziGcpOqpXySei2GJfB/yROo1HF86
NXxLs747mHlmX6yhiUEk0SJtglcCl2hapNJFFPiZeR+XBCLIrlluhU09XaJ12Oey51t4gJhW9AFp
ZxQjNlelPxM9zBH2SGYFYZWFsLOs4Mbs+gwaqLA2sE2p/v2+2VYC7qHTVdmm7fKAcB86biEig4hD
tbEjyzT8yMmRq1YXR+3WamNnV8+9+eAvWXZbKI/GFkvburIpcWksjMuRmDaxNhF6b8XiSwFcAZT7
KhWE9wUWX3RMoL6gpyPOOhnmYoT3PpDn4vbB3VjmydqjZj8PgaO+mVXZ3DiFee0s3tcupGdfZ9TZ
DvP7ubweBsBp7nzHFASYhdOfYaqcII/o9eT4HRtttlu8RB8YCk5gCUHDYUoxKnVSwTSCkSO357Fz
OcohiEOotbac7E7U+ZUuJobgQeWsY+l2DZUFZNO0mkOYWCE9LZpkon4zbGMmZlTHXyHBEsqzBOq8
MIOoo8tx47HEanik2G/3k8cRf0rTEq1kZ5NoTcVGwFVoUc1Wk78fWnLlMO4PT4PtIrpS+ECr1bQM
iAEN6xpvgnGoBb6k1u7iqC9cEax40tpVL0f/ZcSJeyUFuqcqSW2KMK7IJnaq7CPzRr1B73OpsGto
5LWbyp1Zu/Lr4Arv1icDE9CV+b/ZO7PdxrU0S79KPkDzgOMmCTQKaImaLNmWZYenG8IxmPO8yU3y
6fujzsmqOFGZlZlAoVEXfXmGiFBY0ub+/7XWt9KvbV29SW9y3/Deuzu3KLNLkdnDuZtc8VzhYVnV
SayfyqRxT1SRREFjiBiAz3gKqzE6YVQot21jaXtfV2i/cIYesDchdI5JwfaEMqgEiYSecYPGMa+M
KegYbYJIeWaO8IYK4zQhCtKAY6TuswSkRcTVVySsmmR6HKmwOlBUY5xNpgp7Ezn18GE5FKCEGXtU
C6AvRbuzfFdFqE6YGLq97+rWE2Q7jdWWqtS9paXtey5CEt4obl2zRl93mjsfK9S4ClVBV5VtMOGQ
JdY2GTT+ZhMqr4aik407OqT5Y0pHqPMgRPFsV1pLl5XGW4EZy4039Py4KKKDBbsvKpq11cHGdVMz
3GiUAt9zXOAmzxIzuSNdQX8KbVRnJWd5GmAAnEdj8MaV6Tq4befKuLEz2S0Jd6P6xpM8utdZGoFg
MVJzO7RNB0PGRfm0DFc7gqWBrKIMPFL8oWV6b85WeRsurER4I/2GbtpyI3Mjhw1hj3vXXfCKciEt
egtz0SPZdYoXDuNQyxEtYKEzeldQo78wG800pEa7msTJiCE66le240J5LHV4j3GRF+9OnS8QyHBp
mjenL/UVEekstEijLcyvxkKQDFXjrymiaR8d0qdBspAmk4U56SYG361pIVHSwaAeaCQbH9B/afPw
KpiVNXJIwJG6MVy51xq93bv4JE8ZVpc9MfvhRrpaczaEX5wZCJ3nRhPqWV84mYoSBBw8Y2Xuw4Wj
SV7MvOcK4TwbIbuvtVGr9AhJCs+qdKELLzxOFj7WZ0mRFoFEVT8zPBmBVo/tc7KwPLMr1jNfCJ8W
uTcsVD64r4X/qS8k0GFhgjZ2Cx5U6yCFApgMt/EVH0qp5XRAl7VOUZGAbVo4o95CHGVRMuOkSY1D
2vb+a7mQSZvO7C8EhWkuX7il9UIwTRaWabFQTaUJbwCJr78jN1l+nVzy9fAjinezT/x33wPL0y+U
VLL6lCIs5NQsFXJTXHGqHhLnAUNZszGuuFUnz+IbFkT9DVsN2MsLlxWaZXGuF1ZrCrTVbEePBWt3
U8fwXF2eakVYvddX1OvUu5eoIVC/UGC92I2emoUMW3bwfkULiky2dBOgwODx2OCkww5LNQJw2dZW
aqtNlojWsrXqU+1qOAIWIm3bAy6gmYhvpG6Weydd8o+Js7Kt15YyeKdPtFujGvYFGuXKTaLbUWtb
trwY8ib2O8gOUKXrot3I1oAFMAK8Ah7K6I/X37Hym8ySmMV4T6hnS/uSxvsYGlYm0/wQM14tcIAI
3OhInVjctu9wYjiZceM1a09ZI1tX3VGPbYfk3NvwPc1GOZjEi+FCh6BTbLAD+PvRqKdN4eGtWE2j
v1LpxWXCIO/cd2cQYvXXGs8l7UVm/RVDWHEz1vx4Sj7zT4VeWHxia/s27uqlOzCsAwzZ09FQ5k5a
lHSIYZx3JZmpV2PER8tDKy/Cj3h0u70qFq2ppAOkYnNsR+vGqcID6ZqKDYhmXToAnjd2WumPNMZj
B2o1muVjt2QrQHqpZ/kYYxsS5WhsMYpBMEUg/hxDvPSGWbXPfD/ABHt1v7dwTfGY6avvhSyGPZtL
kAZmPX+0sZOtMN6dF2bNKs+nGTN/ET7yBhT8TOF9EBVqvQ/PnFjgdE18Z0T4nfgfrSDqRoK2+lyd
ibfoJ0Lkxasa9GEzUDGvr3VtGOqtMsEc0qc26nQW6v5noVnWOtQ0f6uoqGmAnLHjxYGuko3hlcLe
iTKJDyXWzAvAgCjZxKM97Mtx7HVYx/god5pfVhfuF0l5m0cIyoFW5NSzcwys4wNegtkL0K5TdU/v
Wnuj/DZ/CKWV/Cg4cTCV2ELBrAMa3lki+WIVmNtSrrtrLzOMp84d8u1olmC2vcy19kUYJ1srNcEq
V4mO0MYOofHMZE8/h7kBaFxfOqXukbZXZQ2ycGy7A760KujHIcMBj9NdcrVYd4R+122nxu8qGcdP
VZvfOzZm724+fIh6APnm2FF1T3mG2PdzL/ezmySEGix1cq2FFlbrw3ExzwZViLXI7eICOwePp07v
6elqvCdzVsWxM1W2MXvNC0JIbeB2XWOV13SfOVhQt3HXJ0dae9S9NEJtF1YgRlgUy51yDMGiuRS3
AsTvd89qrC3f0QjTzGzxNvTFEzQscZtYXnTWCUnvOoQWPAaQTkScYz5zI1y+JY/OdWrOaeDYkqic
SUHhzcS+Y9u5Mjq0o9t8NdJhRKyow3ORtP2G+j8WuBxRKE2pc4eBDPdJHlqbqNEiOj6sPlkrr8T3
TtDf2cy5BdKT0EwFjE25mzjUkc0lxmBuV0o7FH5lH12vHTZGi2+vGIXxiDcn3rS17tz22G73Dizb
HeE341m22Cxqs7P2CIDqkORhdXbp82NxRAkevkFdS17Jn7CtURkcF8uSwWgmuK8SHLGUUDPDuhho
OTc9poNEmLgEvOwmMQpv74ay52ipy0+vzLxb0Tn5lyErix1yrL6BbUA8LKMm2m8me+umoX4oh9rA
OBD6PGomcK/cBpbWknI8dbp8cPSORWytnzIXi5CXty9aWAWNsuO7YdJYuquY3ELlfLFKaqeFR79a
UjG01MLt1rWpjzj/Yrlpw7IgAmNT3tB3lQTPVyDs8sHAn1zIXF0gJyLD2TN4PXRY/gajixZKyvKn
yfJvRK7Ma+ntz1uNX+e0X7YamufNKa138X5UPYYMy8kCYHjuDSzcZEtfa4VdSGlfGt8cnzzD8F8p
PajvzXiOjh6C3htKVAoIlAv+SnPMaBf3U/00WgDvdEfD8OxmSVC0vnYGSk6jYUMNLFxF3gF97dsL
NzI0k1eiuJrGpaYc1qEpS+wZrr2xy+zoeYn2LRJVRMXhWN1rAED3ZPef+6YzyMjX+JMb32Cn0rtH
aUBapmwdMAOvfQ0d0rmzARhvKV5snYBo0XxoY9d956Ye7XATAT9J1Uc1OOde9o82N5QV7dwZOAiT
ep05nh6GvjzRej2fgHG43MBpRl+BGaJ6N4MlJrb52M4c21HrfDdlg1Km2ZB511PBpXBDSV71MptF
bmJa8DKO2FgMp9B1pwN5KSx+wKHEQ1V1wz3Fgqm2HTkObvELmD+cXk++Q1IdQA1p4HNkbF4q/DCE
WXD4zyGNzptqGsTRlr22d0wcG106Vw26SJ/McPP08cfQja9dPDfbsneSrd0W+dYZaeFBBANEXDvw
UKmVvA2Vg5kXc5YEuokvb9VXA01Oxpzcz1nJEzqGwREyv2IFa4H4WJTWX/ii+6BdR3Uw6VQ8zDo3
bAPIxie4B66ChVIje3UFsa/nvrBIlQCq1zQIVifojOAyrlfu/Hr9RsjVoGAsl/K0JjzGD9KkKihl
MaurOL63lps8fbmcTYg+xo1xvekT/qa4d7n/E32WJ3+ZCbJlOoAdntz1+WDC7Yw0775LlYG+6HdP
xTJg0GPArCG4mXEYLSOIdZ1G+mUwKZYRBXw500q4DC6qxToPr8UEVTr5yIV9o23gV3cr/zryEKxi
/DFoUKv3snHHtdcK42ZsHdBKds3Cuc344PoZfonIMdyPmpJO3CIAP/ENyjMmuXQ3eRNeeW+Zt+Zm
fqxbm3Iyrb5oGKf3tcYPzNLq6lL0hr2uYJSutQnoOqphMt+4Y9kch5ghzcbYIlZ92tOf5HENW3m8
D+sYHseL2WCrxyJpnX1Puc8N78G00peRMVuGx+w6R2Zpm8HalGwKGDJtSqbW6jp5iusU6i8DaW1Y
2a5ZhtR+GVepMotODRNsvYyyyTLUFst4y4tcBl1GXhQk8Uxr23AWy0DsLaOxo0XeG82Pb2OXZl/F
MkD3yyg9L0N1uYzX3nXSnpehO17Gb38ZxKfrTE52wiLTxaAOZcM8ymV4H5cxXl4n+nYZ7rEua98o
u9QOKYd0EUr+Kz1nmF6vm4FsWRL0y7rAWRYHpuz94L8+Uf8TNeD3A5W74SKUYMhZVrI/7cr9FssI
+31vR2PE4/xqvTYf2mtzUXfdQ7Lqynst/wfRa/vXxTR/oqHbAHxt2+eb7/7yJyr2BTjXkxBOlhd+
JWmQyDVd4dNdNiazueZiWB/bqQFNbURZ/NVwZrkBYZZ9zoYzWisc9OG2THE9MUVzQdzMocUjyaxq
V8d1GWovnazFEyA+Tm5MscDYMps+u43MpnY/NlVzsnCd3Ag4OQcezHzd2A6shOtd6GoFv8Jtitm5
oMfGpr4YZb05LlLzO+D68NCBizoMDa1JknqIL0Wi2lMvy+whLoboaJKznI8D97vH2Bfzh01ZaRbk
alQBeO/22Y6s5etYmPnv0Ma/m0WGTPHnbT/vH5qNIZC8Ft7TFfv309vY+T7aJSnN3SQ9m+6g5CDN
0Nvgsfc3psm4BS3DOes2JbIrw0/MtZP0eOOQDt7waOCuxEwZfZ+GXt0UuT0dNc/ozh5L2Vfudzhk
vPpEXrLb9Lo/E/Wy1AVIOymBQqszvpqpNaxQYLO9LtkdrEKJtSAQkebedF5UYueZeFXQMgYuyGTk
PqjkoLKvkAJ4+7w8j7Lroym9Pqbm6yPLvj6+4uVJ5i/PtP+3K/1FO/hWYX9IkPW7f/vff2gJwYf8
+NM/bK4wlAd8hdPlR9fn8q/wxuX//Gf/419+/DNIFVycPpRTw6TuyzEtxzBZcv/9vX3w8b39+Atb
+7/cfYBX/cv+Y/iRJ3/5P/yL4KP4KK//ic68n5f6f/OP+H2971q/cX4ssXsbAcflZfz7el//DZaq
o7Pj/31Xzxb/rywWEKys9k2kHp2XzSD3Hwt+2C42RgDgE/b1t/T+lQW/Yf2qCTqeZ/EdMSxDEBfh
SvXnc44yaJVGgohgqL70OLL8J2MbbTmhYWIl4dpL14nDcudi4aRbAeia0y9dk2yT4iUkMJAsAPDB
XoK8JGUHzFMkRFnIalvGht1QU3XYETv3gP7TTV9H6apPXnr1TtErXl5GVX1+tGrKZcwJ/Fu7tbSb
2vsk1ZHv2UkP5l30HbDcqnQItmU4rG6rtid6/EnFwTprCasjExvi4KRsM3ygT5gVgklp6zyedsVS
dEtGgNk/3VLerIu03abGYvHr87sxpilg5iBUX3W//NJJ/aFoZh6BkYvR0ZrqTecSTC2/yfxeeANE
tQFyu8GuzAJon3N/A06mXPNspOkj7o6DBalFn8y9Zhc3mY6RVxQnazSI9Nf1fdcvfr6oDXpN24hU
P7ONBPmWUvlp4QvqbYw5jf2mIzTwNm2GCkgTefk0VLDwsi0q3rqVlNKINoAQemsl8iyFdUf1+7fM
Feex4rWqaXJWtWE+k5X9sqDITezMkW2nuJJxBC6w3ZVghiQ5mZwjQmyY4LCX2l5y1yzg9vH2p6/N
3xhKjP/0DF2+dzrapYuAZbucvn/+bCH5dGNScdKOc/GllYyZtt2dx8HZx4peSVOn/cgVNzIrd3l9
z6N85xBgBizeB8CogOx1+CfD0D+IJN9nGmV3vdq2aRbiRbDO1lBtx9F5hGTCnTPtgsZKjk151Ht7
R3XT0Zi2Br021HKytp8fnDzee64CXejfSd7Ceko+7da5ONkbruhtSEclVs1tlGZb+m8wGUvmQSuo
0u6EJBuAbsV9pO0xPZ1bp93SWHWedP8kbDZwU7+i0AL/sXxKyf7zkdzNsGONdwGIM537m0bMd3ql
SvYesF+xtuJh4VOZLfiPITl55a3bsIqBOOoU3tdCTvscW0qkOsw+Wqevs34+zeScPC/8mGpnW5U8
YvgNV0wYOJKMiQ0VDc1mRMT8yWzb2za0952hnsrxfU6d8VibWBXIirpvTWgx48X5q0ZCJK6NHc4Y
mJLC3rLQ2TdW+10feY1DMd1H+H1B5lXUTEirPzaqWdVi/gcVXeZyr/l5dF0+JRaGGN2DosPDGmTw
zzetuSI3z5Y03Igq+xFp/UvIjy9sjXciGmtiJIwK7YWY8R1c+PuoI5GixruEeB4Yg2bLjZ1VuJ8G
4FJBsPr3MUG7NpGXzvMB0svsnMbDJ0L9P/h04/v45XULTm4+3xzgPGAMFup/ft1d3eT1YKThpiGN
RMjMQojhBVPmQ/fHUgiI5TuPuRBxLtYsojR2havG6D9MF1ZBuWvinBi3NpPCahBVa9flMxuZG1qw
924PkNIU+R2A2EcOVsJNhHjS/rGmR3pGOyta83vkjI+FTc2v5cmAsjHavxP4oq2Q1WbEdwt70vzU
KW8HniE1bncoCulcs4et1SUehrPy+mMtMPkkoryNh5BuVuG/A0bEt54NT8LI74fcZpZ06s8S0P3G
seonJbVPHz/42kvEJ4PFYyfSVziIu3YgYOAYn4SPd/FIuV3JK4iAQHT2avb8tYydZ1UYO5QAf+WS
roJbScUkQ5DadAtNXq31IV4nlE2UxFwVyww7HCkplLesjs4d9b+rWjcD0E57DSfKKu77l7SVX7D1
Lj30r3PWfImS8b5n4RgQk6MqQu6ttMGdre+dpnx0YrXXUUTgDX/Djf+YY/7sTSughnndpk4gUu8c
lfqhqtVZ2ew9c++xIOO4uHUCbngbH0k4IQUVxfqWt/6kG6AahiUUn7ywBN0PNOFIgo7OdKtXJxnO
m25yttLPyYbCi+he0/mRqR9chRfE/dGvswO1By84sBghqXCG5mFsqRTfedm8iZfGcqahzyymIlmK
c89yumnTt6Yg5eN3abk3TYKSMzAzNG9XvqSF+0AdX0unbhOU2BtXfj0gCgEByTFDauZn4hWHUPNf
bJpcQq367kXatkaNX1VVeCr5GoIIqc6yyfYgILYURDwWSlyyKD3a5qQCVhb02zj0SUCxCTUZ+FW/
ZTQPwoiWzDx7TU21t8ZxX/QQOzKqMbjyFl+suHyNOuc0ttZzDlSYOoZXZ26exqKXGz7VhyaEPmJa
R8xnYqNYn6HHRseJVrNVL6cpaCMvp7BgPjH4rRpR3bMFanduq3/YQFA3UEEulTV9ZE1crrJevupU
GGL0I7qY+NO5tSV1pN7N4CK8WDgjteyAFfUZNwSUAIMmijh9IhP12pv9UR/Hr8U4s6Ip0Qtp/9HU
GIy6fi4E3nAnfC6kWnktTGvbv4heu42yN0b+FZuztR/Gd92QPFjUhEx82m3853Ni4jye1uPoP46T
xSCf0MjHCstoLqH2dci8T3/W38doXEXmuDV6/xv78yApXOI9jnMJ/R9YXVeuT8rwrvXuauPOse7L
/oJh+YwlPujB5gjrMkwmeV7vSzESdeLWsVRbkmKF/zEGZvoDQAqiCe3O3avrPyknXiWjTdHnp5/E
gWG+9dGjG7FO9VpCsg/ED1akMC5Vb/Jx0W5T/cJEWK/iGUsWctZkrzDm7hNhH1DrHPoesXavfHzg
tbg31DffqdeFa73K3luJie91ZhJoORcjHUn5gx4BT+GsfGlCnOR94gRR8lXhkij6zzGt1kXtfx0B
2GzxHH/VarEnU7nPEuP7oFIgxD7ZV4IrAQkn2sx9FZiU+Eq/8g4wElAWBh84R1Q8J5MWbUZzsr9T
HWcQskDSBAa8pfXz6LTlUxw1boBb6snPtLdqml6qbH6ax/Q8h9JFC26TtVXSVhnJjARk7pUbV+CM
pi3wW9XPO29295KpVbB5X+uoQtyrxkfNBtva6vVG6TbRW/UhMdn2RnsQoBLWTMSkFtyvxTDcIOz/
8Kb+yS+JxTSpuU/TKQqqjquJjxt3E2LwIpwdBukgn3KLchyj2HBRP5Eu+8x0Ot+NXSTFjW2TLa7a
20wRVjTQzRrnbprkDtnBDOzQAqFuT+yWWOMFSNBJIB1qWDGTkZrOSJ39r3imxxucrL+pHZ9cIs5A
bmBPiV68tnNUroqK/VnUhRcrNm742SSb0J8Wfmw4rSoXLLRb9kTLgcquWGA8/nfNo/8DJ82/eruY
1v7+fHkTf1Dz83dcYfzKP1xh7m8+JQSg2n8t7vCs3/Bk2eDOFkrfT64wyhIgdHr8AkB6XLcXI1n3
e2+Hafzms8bCYOk6nu4IYf8rQ6N79Uj+fGUD3unhH/V0fjsbxtsvaoNe6GDUtYlov2FjkMqxXuF6
BTmKC6R3ejoznVC8sEHT84DQCcNe3WX43KOpjYygI4XHvb5uhkelK99auY7kKZlrxa039nJLklJe
KjXRQnRNsToFx3E95ck+7qvyyAsqgsKu1F75vVC3Ex6Y8SQo+DvWEWShe6fvI+psKKJNUFZxoB9b
1+3MTUqH6wWIjjOt5mIiD+y4tHUSGNRLgFQu4hwNdgmX9D5CZV95aertmQ2dYQ//M70M+N33DQJc
Fhhj+eqU1ejDJDH67/zlWKZRpJyvRGT1pCoFXHu+u3m44sYD6s0he7DWlFBAB8rC4sgUA19Mq3Gr
bTIrvsLdEp5IrjmK7JqpiEhf6DdoAgud6Jq7SKkSdvepC9kVKgDKI9wXO2ENJJSgPi4utfeqD30f
FxcR3iqs0o8GHfvUASbUYfARSzyOpqvPgZdPEqvANU+SXbMl1RIziRSBk/yaPRFLDMWcNeszvmZT
EGnqE17s6XZUA1OJdPwFmdpROQEVYMz2xhJ10WZteEittvhmkcUkX5jGUb6ZGqW9do0NlCkkc1Dt
7KYTZ8100PZNO8IwPcNCi9bYZ/KnysoHNttSl+0asxuJ6A6z3KeoSWlgWoN6Mbuwyba91vhcsJHv
dknSJojVNRY0MAwZFLWeO87RSGjzNOpyCMy2a871pNUwP/BKUILZXOLU0++aMYGll85poYLccXg8
Anf50Ds5QrJOrZ7800S+rXazG6I05kbYGIP9saZVK0E/AxYL40/aTbWtHMbNGDjJizuF3P6i0t9j
N+iex7pKXmw/xadozSSsoMJ59OfJ+dGoxhG3PM8HW44DD22flkKDhWyeOcCUasKwvQHluuf3wnhJ
9WZoKGjpnfQCFgZAhjpekppbkwqIZL4FM0DKIoToZhiy2ptF7G/JB5U7R4+L59awiaF51hdhYTfU
hUlGywdcOhxZdvLJxxs5rbgyZhd/oIUjifmbql73gsRLumND6D7g6MfbFJWAPPp+vLFkScu8Ow/r
BpIDsfaJjlijsPn5U8YVnQ3HmB8sc/CCqcRnwWfd2tVm6tZBjEzw6SlbPlDjxoW+d4zHOVLzM/cO
sc9dymK3Km2oB8NwUj5TUme+ACivn0nc9589WIRnFms8Ur1+b2f83uk1SddlXJIns2jeGrPoHsol
c6f8kIGswXL+aCZ4HsqY5oh1WiCmcTmecozmFBJvlDVhQsLn+qFmYi6kf0gTmWaDOj3kWdCqofg6
Rql777WWeE+XiGB8TQsOohsupAXC/UR844Dakn93Ox6Qq4qxhEyD5kz36TWD6C9xRPrdDXKVnnqy
sHR/xq5SAEqVnn+ZUbEfpmI8u1WiDasxlkW7dh1D8ffUmiHITc94s0hTabuelBQzeZ6Hd8RM+puJ
M+ISYhD8AT9ixAU7jNNLdg1ddhzNe9gvRDHTJZWZtRXJr84HsbbqMlM89dcIZ4/euJ5zJ2J9HZUf
Ah78Dxh3CyJxSX/qCUAAjGhUx7WGN55QiKWxjpa46FhLP7B1CFt2wrRGUo+qW8FnoEWr2KI4kTW1
l9gpvqGmDtoccS0glT7vsdETICqnuF8W6jkZOtIlXCCBOa09aXaXyMybHZgSwkND0nePKe6kjRCQ
+JANxZGSz/AS5bb9hjsjuyn1OXzXVPeo18VIzUevKO7Rp/TBb0VW7CsFhWToEHKZl6P+wGLdxBKl
TebBMCbrJDJP3uYN1TQwvfz4PnNG/46cPLNlOmv9woq05wcluJ/t2V7ShqsTD4yHyHk3U01thiFy
j5h69QeMG4pMoS8g5eOAXECU9IpD+9hk2ejfF+U07QfgKzfIdVrLl2xgzst1lWgb1FFBbUPSJM5a
CSqF+CqYXwQlpQ9Rk6KjyEHcTFwPP8au8T80DB30aei8ZsX68bshJauFKjGfoEjS5W2X7gZCv3eK
2rb+FoWR+vABOnKbsxxJI7mGb5K4vmr3gkY3pnW5tFIY5WfYVewrl9vGvtdglwzohVNgOp1zwExZ
nVJFoTVQCn6ik0WM2lVOtZVQ8iHgDNmDBuNbrIm3F/UW0AvPW6/28ZnGHC9sQBxy8TFjM87hHCk6
Lqjui+VEewqcw/7eyHounJDLMkpsChcnJ5xs5O9kAs87pTzZyYo9lOTN/XWHIkz3SUqlSoYd51QO
fYMuPIjsruvGaEv6rLqJ6S3N8c+l5ncXFhH7MsRHkk4W+0If8JG/NQklfRFunjzzzKZfo01qIu2u
Xw2omZpzzHOPagTh+F/8mMoBFlJEMD2qdEpQkL12zBOy84dk6Monq2ws+ltklx7nRtPtY1wy9VU1
PNpgdNpD0glIgBCZqCtbJDRZueZl1D3zxvbhLZDa1NaGFy2B+lmd57LjB+Jz6K7o8pUvwOqqT7Bd
84uuSAzmsikP3QzlFtd1efHDxj65rYXAN4lOvEgTxPpKKqI0MGdtJ8RiWeM7iuPkjnBg9lIRj7nl
wtbYuxBtv1k1nZ+f/Kn33mAIjPiWxatuUwsxiYwxclltJ5ENNqut7Sf2hxmElQLx3MeGj/XX7dwv
OC17coo5WC68cPlbyV7n2eTorFmRtfXRjw1/E4O4I8c/m+PeHEmpiKTqD9PEthbbAMu/UGPVC/Z0
paUprLNEDe8TU14K1dUmiGi52Zs3LTUncW950CV1786a+hhWmqEPP6Am+JsemG7LxWij10sRtNUt
FWZAfRUf/x6l+WhI78mewnan/OHRcIf6pbXJKA92K6OVO1AHPqeDo+9GrVvyvXmUPyZ8TF6aUR9R
RoZ5nyhtKDYoK8nFnP1hvOk1FpGoC2AENiXpv1e4wdPX2vVMgE6c6hIykM+pnhZh14PrhepEjxgX
HT3K8RXxNoNgZBHdrToQfm9JIxQ/RJ9s+WTy+NyFqWmsZ6j553Qq+ab61USjx6RpZ1ElT7keueco
sUNGt9QlSUcm9dDbqg+MtMLXXOuV9qN2Cv1Jokvu03zi0VtF7TbSYxvUxWA9KZtxP023lLOuAAs4
t12hI7/ryt6oosWQ5+vI4WVcHAqDhnVi49G582QdEN0C55sYd4Kr8qppdfUQNlVyyubc2GJ712IW
LTxjVyo0Y7JLjXKDIazMbV/46Z2B0e8UAbDKSLjHTrEvskjetteAass48+wMTm6Cfalii2m/1MSx
4YL4DJBHeIE12tFzw1nHE2xyLrWLRzJY6masrdGU+cCiyvM1CjB8Pp1siO8QSuJz5EoNoBUZMHYk
0zjfYHNrXjsiaPB9xUS3rRti2S8H8dyJynngsMMfWDR6/MYXWN9ak4L7gP2SMD+ZP1IgY3RbZw5E
Pl6nGSAHe7Qva/GnLwYq02IVufiouG8eSCODkshnLPpr8hmdvq8LSWCms7p4X+S1VXJqToYW9B0e
71WU479czxgFbdpLI2tt952bbHCpk/elR1f70Ei0PZZROFtryZ09qAtiabOb92+VK6Y6aIAS3fae
izXbE3LdpRpXnMke9HuvE/lbh8FAbmI7TYv7rox1a9U3Te4ETmyzxPApWhtpk4f1uNbLGH/fWOOo
5RvhF/twMP2X0O0ZdAY3JBeSuXxU1wXGruqGlhNtAbhPID/FbLx0Hb6qnRS6d/QnvEWYG6MEpcor
Jgpf2omW3bSyP7sW7+auxss0bUNd0raDrBrJAHdqF9+DWWXkyPMK0cKLjZmHXu7DefGmC98ZhXRX
0KUtAbEFLaf/EVzXvu2L8kgk1H7hWHIuouJxkKShfwRwLdnKZR1usXx+UXPkwt+Mk5EeiIpdUxvr
gAA4kiDw/HftNX4W0P/tNvnWVl31Ka9C+r8L61ex/D/+afejuvsofnS//k//E1ckOjo8zZ//1YYk
+JHHyc/y+u8VlMsv+kNTd1mBLElW4QkdQf+nyBx9p4Zt4Uk3fBP8pIfU/1dN3aMK1WVnIlhEcCE1
UcL/uh7xfrN1YK4+QpRh8Dv+S/0m/q+SOg9r1/RtXCdIjzakkT8LQ0np1AUvj7trG8/TCtlMPvVD
pF7jQQ731qieeq3VLiVGfEQM4gDHyUaWdQjNww1Waf5WZO3w0XKAHsLM71k+CmcNiBWkqi3lFryF
8zAKfYRHyGaP/XvNuV/kP1Ihvqq+E4GafW3TpDILRGVX59pX4RO86Cri9tW9WJVdfFCJjUXUZJHX
hVl2nirnkpH+OhKtSxcOsHq2UqFvdDiQLDb9fqHIV49V5b+OWgo2VzFsllkzbgRlfzt8tfhgTRMc
e1e3q35qHjHyxxtML9XKYkS4YCYCydjL5pFGQ42wELgM9E2TXbp09gkewp3UffViTqOz78yQzXRY
l6eBgeerJ2jRxGEnv5JX6J7S3ix2aRiKYWULi+ljsNwkSIsRDw99JsY7awdqYm14YXrj0ShhjADL
IXRWBc5xOb5bRcoyO/cXbGzDMfhWGa6/0kPiMCt8dy1co8G5deSQOrh3Mu/Z0/LuGDcG+QrLm+sB
+laFf+3/Hwn/jD8H4ddB8/37G9PHJMuS4ucD4Y9f8seq1PvNp4gFmAJi7O+R1z8CtJ73G9UQi/Xr
lwCt6f0GM8Zlf8qK1XHoqf2/7J3ZctzG1qVfpV8AJzAmgJu+qHlgcShSJKUbBCVKmMdEAgk8fX+w
3b9lHh85zm1HOxwKyzZVVSggc+fea33rz7XA/5eJBM6E8rasCbRS/5tW6Qe3OXFersO7spfIZNek
V7r4a3/Sn0UO0aEjwesHF4Xnae5GYmVryIqRDYpRjz7QVXYqlxPedmxi/SkdcwDAFhL9FsnYxsI7
uyIKLPiWJdKiA9P41wq+zrE2mv5SLjqCn67s34g2FknGn53df3+/y9D7p/frGRMSxGCyDiGU/8Pk
YndF7u4wX402ZsNGbnPevISwePa/fmHng/7x31/6g/6xEW7ZdI3DWCmWKR6gPrvNc7jjM0YswjuM
ejOHhbEMUygzbO9OD3ikRBsS/Ocj5c4arztMcwXSzxjLVR1CoPO75I5cFnW0G66ecPSCOIxh7qhp
DTaPSNuuMg9yTq/NkG27Iv0EXtPD3doarGJNEQyveUqfm1nT2N7XHCb3tGXU4+CYMWhGlEJIh1Po
s3Z5guVXX+h9p5eumsfPicJZC6O9vkmtgg5diYS7a3pYhN9g+5vHoor3Rs+huwoBcsajZX5yx1of
/aEa94VToJzScbrLfPUt6zhHUOzb6rVJOZHQ6KVEh3axyvCebfEcERRlZ588Ed2paXxos4aA2XEz
FsYr9tLw3JMZfOLk/EL7w9h74aIjdc3NlAj7JpvjS1mWKW5bnzw/EKMrmt+wQEARD4H/hr+JYfro
oXYOs5MzRAZGlOlOQ8zaYcPpt8qMnLWROD0GOq3R0USQLor0tqYc3enOPOALwQSsT9HMaSXuCNdr
cP0ayLAwBgsr8mhHmO0uy12NTqKUNMTtYV8jWmKw27QwdoltIdKP0MiMAa7kbH70OmF+GWNQUSJG
Vo9jlnEk0SwPoEidE0/NCiroOULujb7JHoi51E96oDmtS1RrGn4YjSZFe2psYH8ZT1Apxy1jxnDV
hXwn8OmSu1DFznZgDnkTJi42mczaykBER2xV5h4OW3R03Qajk03EalsL+LAp23SomnQzaGd+MjTJ
uHm8NaAFrgfOTLPTORtKn2KbooWiGwDacGwwjKiAChbfwnQeURaQvtyne5OOo+tXnNUoQxdeY4vH
KkyCJyQ0GymgxtkF19IbYVhy6DoIB4E+WYv+uvKpwOkWLvChZkMDFOla6B08vk0Qo9FeeEQJSwbY
zhSsEq8pNjCBM/KU4cFGRbZBjg4Uzg9IHcTBAi7HPBuxy6O2yHV1MapV3fT+eaqb/BGTvLGZfIJm
R/cxrz29AfxvQBdPON6r7FbAYl9NiW9veiZV6z4z9WYy7L0xdlg30MK5Ir4qG5u5V4Zn/N7Htgyu
KfaHVTvpp16nZ69J132PL6e1mgN6483oD+CFn+eivfMpZwBhqGuSNMEnmzPajp18W5nqDaNxtMb0
fulye4Mx8kka3dbW4a5Nym/Q7rf9DCO68MmebG2YJ9Jxb8NJJHuL3mWatQ/pGNL0t+60H58yGPGX
UrSGvYqmyd/FBAhxAnJqibfX8rjulfmo5bSTdmFfEWzFhLaBSYGwor8NNrN9s+oEGHUcNW90oPk9
H+uoZ+nxVYWo+0aF/TCC/70TEwrFIlHkbbVOdeiatDrauW2Ag8V51pW59xBEZIoWmL0ZzLfqUBhx
cnJYFzeQHJFeo2Jm9SMo1RzVU4dTYTf3roFu0TD3Y2JJtGU+zf6x8s0by9cmrim1KKxKdT+iJjik
NQa9CFvwochqXNGzw+m96Mwb0UZ3zTSdOtuZtp7In2js96c86tkfcvdZTfNiDfPhZhK5uuoWlqZh
N92t3SKOMIMo2UCwpK/YUWdlOSaVJQPvGPtLQpsBAY50GM61ZF+z2EkPSqNx8qOZ9Y6Cs5wDoDgQ
DDao24EKjf6M7q3+4ccV4uq03zOmtNcGcQMHGaafHQM6MR3pBz91qrWV0FHSUpP5NCQDyFXcxmWT
VbfQyq//sI/Z/76DBsJi30do7Jjhx2RhEm7HrJIzOa5DiRQI9odB8gbDsqDAx427GYdUa+WPPUqs
AyzOFtc3Txcge/NsZlF7Dse+w79Xv4o06x7yMQmR1XasfLFVVbceKMJDbpkUvEMRUzj3yIC0JpIZ
jPNGVuapa00Mc038oxKcZo1eoqjoygfeB7aXvnj79ef962Hnt137Lx+XCfbPBUPmFoVd5551MDwk
ArLTDviggHwh8kTWv36pZar8oTYJhG/CKuMXOhUfps6kI0Ylhh7rkCr/B1heTPOe+wU5WbXpvOb1
1y/mLJXZr17tgyzRSKNygJFsH7x0gI/nOS/MNBXiw/jdSjtEZSLv7xXHtxPDCjIGDE1vKm9IZwKt
dQkzdcj4JhkU9vtCtHqXSYXaLOKBj7UqN2nKV5h7o4lGEekZ8szq3szQLzXkauGotfjTmEZjKTBu
9LJR42w0N+TJnH/9Of/u+ws8G+OSY9Ey8j8cVi3DTSwjl9ahDuuHOi3FocxQ/KWJ9w8vZC1/0scL
+vMrfSiF817TW7Jj5zBAjkPaF363mPsy+bBrXH7iq7DhYmkPqXK4VAr08erNrz/r8pV9eAdU/OTl
+GgXuIeWR/en4pZ4LJBy7CMH0Xp4/wRZISXNcko3Ydyng2GTvkCU0z/ctn/3wf/ysh9qarvHm4ZW
FymZ67EM4Orwc4uduYvI6ulMg8APfRsZkqznpcrxR87tv/7gf/sW+JJDbBCAg+lJ/PWTFwB+ZUN/
9uCkBQlwbImpJy+EpIM17RmBF+i2UI5QbzLeZNVvd79+A3/z6JJs/Ofrf1gl1BjK2qpisj8K9cWR
qb7tq8g5la3gITbi300s/9n18zffs0DnwndsMaHzPnzahFFa12NKO3iOzG6sMR9XqYQZ/evP9DdP
Dtfzz1f58Jmkg0QdGiK+6F5bq5EPiC/MJaBGNP/w9f3dKy0fxYRCwGn13xa+JlTVPAs4hRGazjGw
XgoB3J7gn19/or+9TX5+oQ9rHucP1UdF5/J0Nv73dOzv8Oq7+1ARcpROynmkL084BWniyV27FMp2
0zf/IKz+myOza2LYXuRFKJY4u//1Xo0SPbYAtJ2DIjEDNGM3PDV4YY5Y1p1D4+hPdRNCAmXeisB5
onwjt3CNfN5c+SW9cD/Nt6Ab2R2oLmC5xeULJI7iHhbTc9ZBNf31NVtikT8sKq5pEfBJPMXyjr0P
t4FhEcZXzh1vLVZnGBbgahMSG+oZaa4w5gv59ISwK/OgZILGc1w6T84y4NI55btXFduhZOvohupI
mRpts9ralA1nGomsf8Uh4kfTjPHRbEtKOMc9M6pqASv6HM+mYEkOWNRVM3xMcs2R7RffyZ+ywMm0
5doUg3sjpfy9xPnDqnX/+4qJd+vnTvSH3/7vp7rk748N559/4v+93vXCX2Up+c+Nqt+Qb//rvnt7
/y6Tv/Srfv/JP/pV7r+C5WE2qWCIL6U39D+OMHpPocOBAT7hb81rNqg/uteO+S86VQJmI/hJKEgO
P/R/u9fOvwKXR4YYYJyOS2f7v+lY/XWP9FEcUgu4GBuESRfb+oga7CtIt53yhn2T9eHjqLrprqoz
TrdOmHZfjXAGgmiGpOz+dKH+uKV+Do3FbfbXVW55ZXxtlkUzEJOcoFL463NP3zoftEcEn3BJMUg7
x2veSnsk+zMdLDRLqrHwV6TdqF6LJmsIu4PbvBDhUEGsSRQxxd4sGnjkksf9c9RGhBROHOxXAINj
/JWo7dbmbzPX/Lf562hbFXA3ZTGXtUaQJqumDqavztiunJ7p8h4iuf+5dEv9NtV2+IzosUy2JpEX
DxNEsGaD3Cg9pwmCAfQNEfbwwaJFU5FtjRDXGzaAiM4uYV37Md5N4yzWcq6+ZiSGJr1D8FZtofoj
hIxoCetGciZ6CFXuv4QzJDkWiOymKxsE6gk9zxqUsog+GUORErwRG/VxCnB9Ey323a+9fE+vfRcN
mY25FZrMOCb3QaL83aCJLgSKCgTEqp7hyZBYCsqJT2s/DoCQVmloX6eyrdZeVlTroqwhd4eOe0c6
7ibQ0FU54ZBThkRlPXYtFIEGX5vRE24DOZb5urbfGgP9Xhy6Z9NDFZcwWcOAsK+iYjd2NMrbhd/a
OuFeiE6upTcjCE2IJrEjOd6NnWpvTMblxznqOtwyUoHTpziuYQmvLXSZaxWDe+nH1N/mmN8XlWS/
7z30OzZomp2bOt7RNX2B6tuG6NQpdYpMubSvYKfNmZ7XyqvsQw54kJCiuDwlZS72oVdEG85LYPHG
ztgCGWAyIkGLE39luO+NNcQH5ZrGxjeEcYsMoDpaMNiu01wwKaxcICUxahOGBQs/HO+Z6cDdI/wo
3rjQxDivBWI5ZoJAfMM9n9frZnb43gkOgASt3ODiT6n1tRrs8r33SSaAjrOQHOxkVFcCF25MTcgH
BaIJK80mu7qf2nNsusaJlJbmlMxl/VLScOZaI+gwMFEy79x2HsHgAOPgqK5IdBICq4qo70tCjWyG
Gx48ARcA18YmqvMWV+FMpwnd1U1BIPAeYlNR7nMjwfHiGR0sfXpkmxYzuL31DKs3V7MvgovZOQnQ
t3YaHmyGyDs3Tqb4BLQfw1Nrtv5nxIkTelU7n2/R+9E9aH0juk5jYB45petqia8ob2YeqGNujUzY
EzOID25YuE81ljvsZgCKUeYGKgN/PbmIuCzRFHdOWQ/PYdxiXMCNNz7mQuMXISOgG7eBR5rFaRp7
63vdki8inNJ6zpGPqH2PQJlz8BiFO9exyaNzZIvldoVQwLgyCx93qKzmcy4Dsplsz+6IO2jhQeCM
yJInRXokScKtce4aEz88fzlrL079q5q9ipYdUQm7YjbuInd6F3H+VZbJjTVk+8Y03J1iEr4qB7s4
DEno3AkX0GTrqpu0Jw8wQFFzE/a4JmaL8DrbRFMKswKOZdPeVmKW98QUvCe5JRDudiVVOod9ZB3N
pYKZuSOPMtz5E/qquPTTe9ob/SJUCc5q1va2H3X9dRbdsJtKQ9wigouht0wLFpBZ/4+ypOOwSkcb
+VMSgLlC6EyzbK4mwtK6ybO++tmYngpbFWeQPHTACPlDsgQbf2NZZEd9b+vJKtIVUDx3DW+r5Lk0
XvsS1UsvJbYTy/uUJ/TJSFJWDyHYgxbiEEi5nrP0aVbz98bByIR6y3V3tDaiTWhP/gVLJfTKfBGj
aqwbi0riWPdJeW+QTULAmKOcNeeo6AolKHeeBhKE+xWk8P6Yx+3wrTdKdSuZf+Zb8phqxEv9hF4T
S9mEIMNC/6h97qyooykyxF+DAcuoUXnBwQmovxYGKiIYuD8Zc0w0IHVC69EkXVeP/AmaGzge89sh
ImN7jKODKvAZQv0/9UXiXxoiik9KeD/YnUhWr8NmX3QthjXBnSKPKKX0mvKMbnA3z9CCU0kzZ2NA
A3xnvpARBpPTX8NfIkFnR1mPvHSBk60CUtVAZg7XdIrzlz7tUAf7TvDdTCy1J5RMt6i/g3TvtUMw
HJoGLydKxCEAOJ2Xz+SnTutBW8xFiqh6V4Nw76Vuo69TAezqUbYly2w/Vwn2wd5ZZE2d6DJO3iZl
smHF3TZvuvkSpwhLMmV+bZg07LxSkt5IVsHZh6aqu+rV0KopSeqTNu1fmTs+wHcG7fsU3Bv99yYI
LMZGaf805jbZf5GVubdIxUa9nQQe7mJgtjIF1UPkYESDMthtOKsa90XvRrfaWOJWyWJNAxcbepdu
LLIrIJLF0zaOkSH5iHcDtztnLTuT1yEZzlPY835yCQfzvfU14xZCf0ZJW5LyfTqmc5isKatxahvY
2VKMDBt8dDdNUMDMUB1YwgFdX0SgxmZOYr5kkGnnzIufY4fUSUje3ADRyPIcOwi6elcOyIDm5Fpq
oHe0bHbGGG1ppFhEqSj7JtEp1jijt7DI+Om7ju0eyPqA2FQGENINy14hBM/Xk2ztxWbT7RuQ/RgX
rHFLLeisJS14Jgrzp6gYuJCQRLel4MIWxIle6mAALSmbT1i6jCfo9d2hDz21lBqMh0TX72t6AntW
oID2OhmkeG3RxCkbpUHlioPIiJhOsvBeGhOPb2m7d5rv3RwLCTukGzSJirkA/EgbfN8FJN4iNHV4
4FPXO1MuyM9psHyp5HF7O0Wy2r1IG1K0rF4G27qKxs+hbxZXH8HfGQV//kNqTxwNtpyjRaL9S9YU
WCsxVw+70TMJRHS1qogxNKMfZjKrg/AmMs77wm42bLPR3hgClNt1aqHgMkJ2zjwezJOgg7on7NV5
C62uBcRq67sy7Dn3G00VplxvW5zisEQzNAzMwmJIkY9xaHlnMxisJ5SF0fdCAmpaNVWA+7KL05yF
yUIw2ZveKeZS47PUGX56x0hPPCpMKE3is+P94l7el4Dvnx0AyisEIbACSqiH68Qu4nfSlsiJ57ju
13wJVXmfY8x9ooWdHdJEkr+sM2iG5jS8ul5fnlWLug23rEhugZbBDZbos0898Npw6yUMlfJsmr4T
uFLymAZ5fu38cLiCtW1aTKUQfChtQaFS2u9Ag8vnAIbUbZRU1Skh52I/2UB02Pz8kRinTsSvqdu6
xBiZxdnThn4axtI9DFU6PBih01NNiujeITn8UliBBakn8F+NghF2G7f1q+OCfSEtfSX6GGdiJm5s
7KTztjW8QXCfuSWVe2JKlCscSIU9p2Si4mPTftfta+wfDmrAVHN052SxUpIURGyfRGCssFmWt1Ho
J3uUdS3zxoqCsZz6q+iN+eg3vIMqqKxPjhjAAsJIdZ6iaBTxdiYg3Lpni2B/U7E/TCxgltiUEpBY
UUiJKq8Kd8KpiBwg7eFW5W6GIzF8Qw9iMauwCHcKsHQAFRO7tm2Sd4qWYkvUSQ8Xcy5Q0Ss9VeRj
jd0R/5L8zEM7X41QUm16utrnHS9CkglmowWt45WwPEXpxPek3Nm3ozQH/VY7tm4fJp22xSOo1tjn
5D5nUHQVB7x1ZMXElhG4riMYggPwYF/1BjbKYGB029TZtXTH+AkNXvpjNshKYGgVk+s5Iq1TnSkf
GsItPpNh4j4pDSVzNXV2+KrmOJyJbEyrx7g0knc9iuwEIct5a1170bsSbcvX0Qh9xZ3pfu+cej5h
B3IW9qhur1NnsVbMrc0CTeHNqgYPOt63GuD3qpOOemF6b77hT3IZQ5uie4IaLfrbqG5dhwze0a62
Fo78bVxmHUPVaYHUI75EVlTGfrdKlTWlx8biJtyo2Igy6nYJwrScBMhFfAond8oC0hfZD8+1hfyf
kKm2uY3R+CWbkUirCyN78Iz8gqy/Hpr42NbKAYc/JnsCW5rnBh3Am82RCBVk0147z33AZ7GJdSE3
jQyCcz/FQDi5D1EGCfMN39j4BetNBn3CS5+zeTBeLRKdgi3cS/ezSCd9Gvpx2g1hUC/IYfEQuwE5
QxA9o4ObFdt2wt9NRZ3caNsdD63E9KC4hG+DHw83dIXFPYHO3a40/D2OHf8u9TPyiYVtbdSgsmvl
Gu5lIS+Aswx7k1CuhrGdDlpkGH4xRee6mztWHD+6xEnwRcXJO4Jk/aAachNWukUtv3JsJFYS7McP
FTSE6KoSiJyNlXkY7eS5C0L1MmY8OcQx4x8vYiiRWjiXSuX1KS3c8iFHkRm7TKVp9YXXlnL2vijp
QOk0bb67DnSANB7tAwNl8TSTHH2aY9PcWnM/PueLlEwaOaboyMvua5pk26lrZbUtraa/0ZG7hHrF
zVGQe/owLMI1p0kBZXeLok1xJv2K/coFIVX1u2mRv0mAyHeDN+bH2m9flAldZKNhqVIelA6hs3UY
rDuyRHaYwOe3RABYsDSun7xwqIH6zH4lica+QJ7PzwUxiK8p+fVfIlzxey+mTmNbHa5TXE9fUmqx
26qP5+1M5/ii/JyJHVUeQfKF6e5m4s9ODvP/SyS55YH0ESrU1OoLXjRseXOfvk0isAkmCzlSW9Xg
XwKfwxo9O56ulF1lQ+pcgI6MPSUYvWGdTZyxnCjfzU2SXSqEFs9F4MmT10TZM/nxHFDR2nMSBBsd
NIsiInGsez80wfr5wwjtURVPemrsS0JO2g931Mjn4V3aTwH15K1ZsuetJprueP4xg69VV3ZnM5Yh
cRIkmx0MbjRri/kOEV3f5+pFIe7Aj2y4zUuvmzbk3KWtR8wczZPf2fItI3tUgwpXbbXRYVu9SllE
b2NvLp3XmPXljIlE3M+sfs8zBh1xQ0Qs3qNSEFiN2gOSSdyPnK+QmzhfB1GBWLfLeZ37fv2mRwYk
dmT6LzXZYGuv7OubmEptMbpMGW8oKzd5FRS7FMTkNTRYvS3ReQeupLzrLDlc5nzo31SphrM1tIzR
7CDayhqODG3saTcjuLqR4JlWdZw2r53P6CPOS+MKDtpDn29GAAHXPUs8s6m6rt6JlxP6FgRa4h0M
MaMzrhbroyKh+Zl41prAKFTUPwbTDXag8aftRIyTWEUzio5VjeXnJecMuYmjFHWjjywcJgcSSuwG
EQdqO5FuCT1o6G4mGBif7TC1nvys4gZK0SPQ/pH1daoDlM1GHFfPbtn+kHnaBrBHpupt7qLpB8Sf
5Jh4BstQZMybpGyJ4RoMgEI6/ZrHNLasGuuDP70V2ps2CFjM9diT7zcmmbkUY88sMvUSxPRoRsCW
Mekb5zjrUZ3ENbKrEEW4IeqbXJGXmqjg2qfSvYucqLwxsXnRnHZLugA6yo9eX1Xn0a3EER07t4NB
0+80l5Ctkb84yzZV7rDytQi3mLhh4eFJM+azVlNwSeMp2dD06PZWGJlfCa2OvzbWIsPOq7rk54v2
LBLwswMnKOKonP6aTf490gOLvOFpvBI+Du4VtwGp6GSOEjQfgp2nKXXn2ebd0hP6bBLd3azKZmTI
mhuALKnsiNUCkpVdEj8QdLukB4EN3Q8kXKKXyVDVs0v/be6xGyTFswkCXcCP7MQDpUGB+4gQhTui
JMipGyFR924i1lnhpBtH4nQJoonnsohCMo4skOhQ73OSIVXdnd2OXiKSfjt6aePB3smukZ+zyTEv
GVFI4AUSRCfSHbwHJ1XtpeXV1nXbRvcJQuaL2Rh48qKw9s9qAXU7dZ7hOpjkuenN5py6aXAF49Ls
Kkaf8QZwevU6yaG/o7km+y3zMUqawAc30A5k665mgJcwo6ZvIUyLTc+0dj3HtvluzDHhw9EcPQpW
JqCAynbZjmbAK3MAMClTuJk9c75bFB37xPZrfGRZGVx03jcPs0HmL6NVxiKJgaZF1OP8pofCPzXE
K34SXssqqGsCCWxHoLujecUQ2GjkHWcC+1kkEwZp0xyouXz34Eg2s74eVjH+E457FiBv2/gU9INc
ZRMOazjoMd8mmq9tpgv94MM3WLcTMMm+EM3JqM16PRlV+8VkprUh7AvVMopgFmMJLdojgKhs7waz
7nddTgSCNWs2Un6L+c0NyptC++MOgV7jb6oka6b1FDBbdJ2EZxypV7IWwRTtVd52mMKxAN5i4pXP
AgfEM1KFeFOoKUtAzAJXWA8iQ/FSIKQG0JA2T3A7SzBXntTTZvaHrNpB7jTrM/w/m5ZsU2MpLWl+
kE2cx8YLwhh5CswE0OdAEZ2vE4L2rojCu/SM9SN9xJ5rQisDy+uvZk948BbbVP3I/HLez2oUX3J7
FtdAh7W186vCaLcZInIwPk7NupW1SbhQzIWtwG4EDkwl8snWI5xEPL5B2LwoXHVfB4NUzjVcUtM9
atlF4jTT6n9K3bl6bZ1o3BtZ1d5ptWRQxl4rH4YpxoVlT3Zw34CluDqDW96x3Xz28GxvogBZPIji
8ItRO8mumRC5piD0QCba5XMmM4J/q0C3OyUShJUVuQ7GRGxMQoi8NBt9K9JFmekhaHjs+0FvzGgC
7OEL7xRgBL53JkGLISPY4iZWMwSPvnWCd7oGqPfiyg4hAcOPYvKmDXdj+Lgj6SG38xodo35Nkc17
HEbs6dKXrr9VyUPa+Ept4kqET3kfVZgtCdzNRZfDD/L1JbLZCQ6SbaZcpXPSfw2SDElOMmklV7oG
BbKi64yoq3EcvWrGqQg3qT8Z7bp36NRuhhrk9cZxajyQ02TfF5A7HpzJnl9onI8PhlDVtAqtYp9W
rtz3snE+ORhN71Ddu9s0MEZzhyN02sjCy+DQ4brd1mNAikyTJ59TLYoz7MvhvjPsvKUFaSXuuQ00
UxfLQo5AUIAFTySlyiJExxheyV8VtP8prneJp7M95lN9p8PO7Va+i+d4nXMhHmqMVsY6buz4PbIS
n5B217Ie44hGL7NLs3zMUh/yghFxgAYI6rGdEiyH75aDlC4d77arLXlt49q82qNT3U2GV2WrKUrb
z7MGWCfmDDfg0AbiYkrDpI1TLTyktG8t7LKhfU7bkGiFkgxGBqmK/ic4h9I/ZZMRfUvzcn7DzEyv
jMxuzp6D2Y5ki85JtRGTwzFu7obihbsN4WZFYDE1fSX1nTSd6NtoIM5MbB4iz+J/8gnrOjpWP18I
a/BPCQj1PU42eWZtZwOSofkuXdUlkJLY+VB7Gp+EkTbYNzrg3GRd37hjD3rZSdQPqdx0L7htW2b8
i3y57bX+LrKoxDatNpwhCqLhIZ4fKnf2T8gfyg2xosWjC1LvZNjY8YFLq/cqa52GAJyJgPTCrA6Z
C2J4o+OyfbMacjq2sfLrK0ckut9NJT/lgxM8wDMuvs1AyB6BtfNLxzokYyxxcc8YupMRXNkg9aVx
IrRn3Cqu4WM1yv4bO1AZwF0YwydjthzYvWVnp1ti7e5V6ctrjTqM6QFrS7VyleueQ7Pv72FPFOfG
4oesiEykGCrOvdAV3QRzKtUXBItAJkxrsC+BggwUEQbtkN88FlfoGGSsJmFmN49RVM8POmfEllDc
3Jj41B8YblVHBC/JlaCTZm3n2lsPQ8tRw607kjCsZDUnxL6UwyRO/Fh8x9NtfNUWwhh++5pEQ74l
cFK/cWQObpU/z/eTLt/xLW/KXBEqkdSEZmThdBFkJT+mo0OCeO2D10vCxykFNJKLwmNnpHV5xN3n
ZStnRCWe2aZ4chakXyh8Hp6p6TduwXNNDoUcdwPHVyY0ig6HkZYRRuus/+IntSB72USG7zq6u7oU
9JwECg9CQKDY5ZBcN6cUYkO5msJYfoZA0d0wXf2GgRsbcNNL7y6Jbf8y4gR60LQzvlQ+PoVVbkV4
6mLF+CZR3E2jGR9YVaP7OiUTJCbueZt3yv7RVNFgrCQ6U2SUtSTBiLZ7Zy3Stalce5QIZ2X41YsT
s2UlZUjJktDhzC17JISWaQvyZqt5Xty6x5Lru01a4BQ66YINMj9nG0xmUO/xZLnspjEZrHjryy/C
ieSF2aHa4sUMfmCslufRyAt6wVbw2fQTKAOTKgJjnZtDuMjqKGT9jLmVMytOMLaVjGdpS1o5ZYus
nWkO7d7Ge2s88qHXSdEbOF2JXnLpkaQrjz7Gpdcei1zot40mpDghpoeZjxMCUUx97b4DpNFfU8rW
p1Yr1aF41cv6H1XqRoQZULPZ0fpLmzO/BPDIoYcWKaXJDLyGlSpjMR6wYDKHyXuHjSbvk8tomObX
ggynEvMHQk6GL2xcUxWKY1T75pkPhYiSPVhDN3GG4+T1IESzKq6B6nmNi1zeBtGQRcX00ga5zdwG
5odtN+z5VZv020iYdbSuowUj1fswQlSKcpkSFdGbHxK7GmtJ3oqXT/438BSkzAiTid8KiAS7FcQv
1P5WOHm3aMcS2A+9gxo9S9jFCPAlun4lhHLam1BrXob8kfgAOaAO16VwrU/F0DFHscH/68HHBtZD
EjvSZC/9jUdmFv9i5KFbRSStfGJm6xSrkYEoAZmV5723Q1rdNkxQ0SSiRp4LtstV5LG1H3uztPKN
b8/6lX6zve3yzHjCV2CiOe1ncCmh7tcu88HtmJr5RqeFidJtsN9zt142MZAqRpTDlnQtNUQ7DxXB
OqQ5fJ5LE+571erbyWTi7ZBzvSH6ul4xprFBbwqLJ2uwt0Y2PrgGndFEjpyuJXngVQeEoyqOgVFB
ccgtuRmndvhuNV52UZQTt/ayOsfzFGx83yRhdmjsdTTwT9A50fpYSpqvJtG3tzImFgwQHxzI3kyC
dasHCYjM618T1cwP3TBUNzW2GMbo6L9cOyqPheWb32BR+tu4CbqbUqHOiuY269ZNOqYbRTbVNxk7
ySEGNwUjE3IS9Tpt4hrQ0e9Cv/+vDfqHSMgF8Yyu8z9rg65v2Zvs4X79rAv646f+cLUG/6Lv71Ma
/w/Z6/ccSBH+y0WZawtvYZi7gYsE7U9ZkAUmOkSpaf9mV+M//SkLQiXtwfwCFxaQ7fRfJUEGqIh+
1rkhz7G5O0wSJTlHgskTH4TCNZU1N3cvdyYdnIVVq2V0sQu6Nxjga3GsAtQGK8ntisAiy2AmtPT8
q01p5OWt7GidrEo7Ds72ADtkdDTIlTaEtVGSU1isKbMb/Pv4jIhfV6QD3ISl3qEABAOct0hi91Pn
sKwNxNkz+POMEXCgG11UNy7ZLKxGxyTEerolrrhs9mLKwDKmGseKxbLM2GvM6g5sYDlIXOxRfKOD
QXx12lZtYxK895ou7v1M9Cx95MDYliSfY+X5P9Sdx5LkyJZkf2V+AE/AYdjMwrmHewYPD7KBBMk0
cJiBA18/B16vH2npGZHZtMxsSqqkMjKYu+Ha1aOqWbVVuqPV21YaH4dpfE7lmBcvZh75Xxzk5ZvN
Q7heT/aCKxAIFNNsz+Ty05tB+pqLoiVSA2KIXOYBH+k+YD37xEKg2yeTV9tUGurufZoQwNU8je+4
FbEoDPTK3XKFJ3GpKCn4wXvXzghdth2bGx5czkxQqUTH6UkexHdfW8TmyNJRd0VtaaI/yJB8p3TY
kZ9mSUjJKiEiItsOhL3g/3Xr+pbT2XsXrUWFRYshhKmDrNabpnHylr+072auPWHvnEQ/NQROsQCz
juC7iHNtyWKwoytsZbdtwzeQ5WxSzJHgZJ2W6ZfTdhlHmqvu86R2f2LLGl/CzmNh3U3k26+GUZc3
KptRvB2FABzlg7oUTZnv+1lU/rrwOvz+5aQrakOA7i9xJ9sLSkxGM90cJtgiZ7d6pLQi1Vu+gvHS
D21+XyodP3DqEvAdTW14iJO22aPSybdUjmQogXYkAVFWZYfSL4KOuxN1ozXus8HCnZHgHCZQLL6m
d/fpp9f0PMTDiq0RuKViw+LVZsnvzGIUIhHDfGZPjI4RCdIV8GSnul+rqoFeaaegq9chBohL5/sk
UnD4ju9koohzmoRcLRNK7bpt30aF4gU7gV2wOB/ClVUnJfcDYhA0TYGpo7atLrCDk9nR7122yOem
cO2HrhkEHsXGW4XMwf3aKFkYrMO+mO8ZF538kehmBi5cowfSQ5x7K55bHr9mXO/zpsTZCH9XvtOS
mZ0CwBxjSY70v9kVBejqWDZ2dYeRL4kmylPMESSuhnPZ0hDmv4cyZZwprMTS66pjbb9RfRcOa0fZ
mJa0XR+Fg2dzV9VxtzMrE7vXQH7ctK6GVj66s83+XqM0v5F0pF9TMxdfPt2mp2DomXxMdoQryiuy
tVuJ147dOGsuZ3BXU2u5n4GX+OadJBfC3xb5kDNCj3l3pzFaTpus69ybmtwWKhOoL013Tq26N6+K
m684lYJspWAS+b7mHEh3gEmdc8hIk8F26Jt85sjsWadEfkZOoOZO5JE3E2Dujhn9+vVItz3pu14n
zW2SOdSq6EQNv6Z5XCgEZdPPGAorYscbCd7mMTWVmELNMGONxQv2s3KN5DNDLYgOdhjnPxO84S4N
pXMueYfPq4D72Hft+9VtEChvT9DsfMFtD2RtR477TXJFekcjqe+expm1xS2dc/2HQSvuKuW6v7bM
KjwLK5UvvKJSpMaQV2XJI37Hw2R6x1KY32opiFauTe1yo8ykTch6WyInBz3OUnTzQLJ4m+Kp2Jbx
SMxPlzKNnIrW6v2zzP35icPGK56zkI29SA1xa0teEDs/0PVNI1X2lkxO1K1EK4KAdsPCeNXm2N1m
GJr+dEM8N1y9yRjmNqtz8nwDyT3Nrn5aR4cOZ3tim3thLS57l2QBcvaBGY1d17MW3btlzdsMiyMq
clvOqHx1MLW0gVUeg5eVWxtr6KZV0fFOcQnGK7cNjrWT4yUfXFuLg0ON0Kq1VcfOu1NP3UBVAZcC
k4HfM55cjjN631xN1C4t9AG5WCFWXWxs/acXkoFwgDgv74mHtdkRzFN/tAiPPGI8mt9IyurUlnhK
sbWUU+HTi1o3eTKhRT3+bJRcyDicqcWJESmgxx0Cx+xiqeydFcfRYFo/ZN8Fd1QROB8Gst29PVnV
zuFuccklK457wuQLDhRbev7K8YbyI82L8UAUBA6rblDJj8/+ax0ndSW2xqzDkVtuPgTPJKj3f8Yg
sQuG10J/eLWLwAqXxcSL0NOtXaOgFyYZI7LpJSla2xwogEgqcHK99ebovqv72dyC4EsY1jbg1HIN
y38luMrlwZ1FB3M2zR3tAvnaDSNYvDAYT7aByV12fQw23qGGWKLfqoi9f5S13XszURCzkkW1tBxd
dYLlfWgsnrjy7PW1c9dq/7FjX7ZxfP1aySX4f5Ed4kWAqBIvOiUOoVursXF/xkWwIJOCW7gH99D2
atq4U/KRkUaAhzL47aF4tNI19laSV5s2kgX7yyaxUvJ+Rve1vSonleIkxv/aYBam/mpwjq7vZbjX
XGzGx+Gqy3hGBQTrGD40r6SjUa8lqTqE3tVLP+cYi5/qqv3YVmtdsKAapPRyxUaHynIx3s68fH4i
Nr/VeugZddw4JwnIXLQnt01RobhzHQjXNrZwGQmvFfI3upF4RwjpoNkgH6QAcLm5ZcEbPGaexWK2
j/JN1IfZd0EF2x+B/+89F05Dz+lEWDLX7XU2+26yGUz0A8ThyL8N/MrHijqU1ja7SnDmVY4DO2Mb
5eJH1rg9+6SCQl3EPFCtHnpTlFQyFrxgCJtXBGpsJT5Pa9vX1BCrxHButdXPYBUjPXnbyuqcNzuI
s/QYzk7zWxDtjNIHK4L/WuXHoiBykB212Qc7ZzTF3TznDjGsZR3+GmYVns3WJpC1tbr4q1CNc+PV
tQFH2rMvVfaycSTgefow7aBNN5PbOiSvGoIY9I7Uo2APcYiDvTU75lDp5+TSTh6hRRk/5V9WLeAw
O7A0H/+tf5MVdbRWdiUI9fLt5sIQBaKc0bfyDddav3Ughzd5Ac67Ke0luYuH0ghoEFJKmSPtGWuy
JyO8Po6V3nWBFZMp7nst1YBGPG+srK39c08cCx51S9B3wmG3G4Z6efrNuFR4rJp8Pjsv5l8ePlz2
naEQm8LL/YeB5uOL4zsBJXUiqbhNBsFbOugO56sV64c+JeCWbGu7nrZgcgwFSQVJjOBJqMGYNnSj
OHbD/ALU+mCrwn+Mmprgtcj2sZRKjLyoB53N66T3Qr5nfN/k2DfpphbL/rONE4ApBtMHxPDh1EX8
eNYRGUs0lcezdyFheskOrOJJ7VGWM70VMYLIq6Re8LddF3bymLUTx4UclukojdWs9lGH5ZRBAQiY
VEp5FkpRP1vpljAwbhyS6PAiCUru2CmRpBzQU7uJ0ri9ZJFrkd3FM/quI+fsVHZ9v+UtUP8mvNN6
HLI+bjaWCvOHeB4NzN9meAHv8IB3wvB355DoR6DccMJSZbxPZsRCPdIpEY5V2r1z/jIuuLpFxioE
zdlFucRKDYUpjmYpyQJPJiRH0n1zyBZz2dRlbl5wCJhpRn57ErDjD528WQMBqpxJ2czco0ksviCg
oIzqg2D6v/GD3tLQKDGBqg11DjvYYi/ZAIeTl+rGsZ72JITI5IalenbyOnfSx861GoCYNNcEgIV5
+Kcv++K7qYXQa8z3pb1tuEtdKAajFsCPh7G2WMKTLofEVcfuDYuUmuWFkSpab+Zh6CGoAVKNz6pu
gsOUUmpQwUGhBhwxVs/0HM49150lw7MSbxrlXTx6bJ+afcgrTaGdjrCxLJm6Tw/Bv5mkn+6G1iDb
dMxZOQDPG/sRlvDo8H7ihTkT6HWO/VaN685xe+d2VoT/r5yK3RZRMM8mz5sZ1/gUPWQhM8H9Ug5W
AqTNobTPuesb0T4uqLHcFkJ2W9JHiG1aOyzjuankpVdPyaqMtda/4rliPCJgt3M3tqUK97ZNnTK6
8QAA4jt68jr/zk9Aww4pNtwNW/LyoQ0ybZyFx0zyPOE9nfd0hnrOrhnnODnSvJ6kb4lUdXHwUNWn
ncoIHvoo5sn8DCktI+F+6rzoI/NlGaEKSytgSCKQmK0sRDWlSX3TMGbWI03Klk0nW7yRk21+wKpB
VNYtgPBaR6TeQgJM4ZnHtx4OmbAoJp4Ki4gCOOtDZdrZvpVsJBkD/fEpLtuioCyD5qCFl4bKKt1O
pr8qNxiC9VxYVcvWyW522oh7Y0O9jU/tqRNGN06Np2+nUtLgKeSIguim1KQz2WR92nDIPBnQfg3D
z5v3MWPcVnqcil/54kFaGzr2ZjqDhlYo4lXLKTxEIoynVesVQXzhIeU3R3ekgZVTbhjO/eAIAuOS
hOL3lxj5If2yeA+TXUqJw6b0FUmhMbYcrnYQSfd0fIbvKcMdFY9Ti5oKDh64eD+SaT5YUgT9KTZc
6h1E5AVUiBCAuQvsWvvwkbVxSorsHQtitHSqKHlPXjHPRHyLH4YzhjG24vk+bSQ1CdrsNnWSsXcn
KG6JEXQg9LPRV5Q9RZ0mVJXgQV5RRkRZA7PeEaaYmxErhj5Gr4+n70nWjnNsBksysJp9c6N13z11
lvbXHYHf9ER7U3HssXi4q8HNHzGtcDYR75ed8HqXNlMLyhXC5uT5ZFjL/guBkoAHi1IZn6dQXQRo
W9xrDklTS3xCCKQXNnZQjIpeV482TGndTb6T279Cs+zlho+GDCSdEJOKTquQAg96hHHK1CYgrCyD
H83Rn5BtbjcvjeVyY8pIhfnEDlBC3+Y0ZPlBdA4Ulpt1i+pH44b06nwzF7RLeLl0HnVSuftEpcUx
tSdzBh/hx0GgZn3idUnPkRGF+DakycdXAXv9YW6OihywT9mY8kIbYfs6admme6rd7Zse9/mxg5mh
BEEQ4i2znnCErC6EuQ4qyyxgxsHtN6VOaVYMu05zLjmiYFfLN3bRMgtPwp+nYoXcw26pFBFguOKy
T8B85OvFWsCGek5Ss98M+FU5sZEA/zLI/rdtN5dP9I/Yvv832vEs/AF4AP/3i8tfnz/x9Pk//gtX
498/9O+uRvtvHJounSmmbXokMmLb/Wt9Gbh/g5xhKwL9SCDfkrv39+2lTVofH8D2Ev9iSDILX8h/
bC8tYrh8NptsSRBAHBzr/9EQ+G8GVfm7+q/chWR5/qf1pU8QmG/5tu35BHvREvrv7sLEMsJxzuZm
x+IgdjdmLYl64U50ZxipeQFntV4FN+WcRM0gPyfEe1o3osSaRpV6+lS6NmOW7iX7vIFGES/JwucZ
ryQDTiVt/4wM1MUXKekTX1H3Ki4sImhwUra9GQ3HREDLH0Fhx5fAqzziKamyokf2Mqf1SLJLicbk
qeJZziU2DS9w7kCk0oONd+LGn+G6aq4w90UGq7qiEmJcQvHbgtqQGH2IybklJnaiJqzkknzCfEq6
cd2JCUNhRJg+uUR5dcPJ+ViOfjE/UpBCMqyPjexJmYJ24jSp+yceIkV4M7sDcm9o8himCMaO+6Mt
eV6voH7Uj2EIbtsTvgMMUoUp23M3lmF400d2EGynwbXrh2nK1I+L1prsEWKy/oKPJPyp5nn8mpe6
4INdh7qgJckhCS0dDH/HXoyDx/AzuyCDICiHmxmC/E8bBW1FTR9XWJxI1jPDBY6wOhIPtjt5+yFl
fvGdpTDQiJW5r3Lhf1FL6fZHx6efEuchBhyK+nxzXsUjYpnf19WOVQnx4pHlZvEqnMxnFybwvctd
SH1t1N+j2QS3OKqmYNsIjYBGbCumJFCxU2DZ7Z6Q1YH9jlcXe34qLgcutXKrnHUgm8lEzaQsZcNa
UjJ4duizyD6gp/xHglUNruAm4SwGHgoCynKEKJDsfEWJCuqP6dD9pDpad3IJxN85JdG0LhvfPa3d
wY2hUnmmR/u7I+NwhULFNpSkecoYE5k+CZqxGMsYzc2c75uzD/QMKZ5sYXesPs0l+7dJOuePzAvx
6nLkLk8efDofseJOlKi8XwfduPCBJqxfbxzS0aPwuLRIoWJAxFlehMnJb4tH5aRkF5V1fPa8yXsI
Ai98r4lN+4WtvfG3ORTeXreB+OYy4FP/wED8Rkob9TDg/mO78hNJMVjg2tzWOsJkSQpK81GsKZ5O
1U1TOsY+EOS9raZcNuch6km5KctHkQ5s3yrL1axCW3ulnJBEMbd/Z7VRrk3V83oPB+GRVdQ3mdgJ
lnHOwcSW/4l+18WQwlWcsPKI4Q3LmClqNVrGMBzNgHjY1dDxpMHLZZK0RGwglJIK+/itGSDfWXjK
lnoHJ+hHIljwnGzibNBUGnGrjHdwPrZex8Zg3fG4tYKV8mv/nWj/2sC8RZpstCdWyX0FlNbGrec2
dFxCk7MhHZfgKKIrG3siiWRwvB368mTSh8svGj9gSXkE9LYsx1sWVLL7FfVoGJhiU+iZJORPPcaC
S9BqCqiFeG15dTFeB3lGBBuF2TRfDbGp1gxtQJlqHqoD17v22Uxz7yg8nJRPWVPBApFKHaa/h35S
557OYd7YnuK6Pc1Wfqn5Qm0Wsmn2Ox9aVotOFNW0KTJBg7J6Adcfy5xBeBthoOGUnUXVHRDoH0LU
NCKwM8htlKqsOfLKRL9Vi5RrwQohYyLvlovQ6xsjBl1qkcPkpnO9+ssJcxx6FBkwMEEYEcbF/+KQ
GO2XcpGVNesjc2VmlrvLF8UZcUFL+rKh21kTM3XPpDUwXnsF0kl21ao5IIMGkLPT1ZpvsdiAmaFs
Z7Gz3OnHjAV/Sl3aO9qq+NVnXvlKnyajxgDjcNstYnlZO+G4qpUat5xD0tiMTTgcfKsdfvWhDu/J
TstpLVjk99TwxwcPlpV1T2k/Fn1JbvPQeimJM4tyH2mbjZMi4edo6Sk5tcjg68VySwid7bwWrT/s
rPq6HIED6JJBIrZfGYFxwQVG2efc7vB5b2ViwKdLMXd7c+rCs6paY10ajZMtQhe7LbdUdwaG6k9z
QROSwXIvqMbZ0e/6dGfWffTI0zIRe8226RlXxfgFXur+2AvzMNQFTIpXPoUcS1zMdRBiSuyrp7Rz
R7D+OVaMwRknL7sqeQCZdPDZ9HQnlyWZ7Z7b9nhlU+rFdiLv8Sk0uf8uA7YGm26hObKF66BsrluV
DJprMwrNQ7qgHwEpHnDnnkmVnGl3DuvJXGxyO68ORdFX2xp3wK13BUt0hYa1m2g053CV1m9ugsa5
i1LyyuxSWurMHYh0Tfbs1QtZdmyfo7Hg2VX2yj0qFzY8y2KJ+fFKxEwLHOORpY0VYXJ+pToL78or
RWPB0/Bors/cUIFzr7TNsIA3FN/IU0H/QEVcHQeVtzA6RWLz363bh3d8Le1HMYQmXojGp62T7rFH
O9DxkcsfS4UIEIia2d9YBfIX5CK8jFGRtLf89sp3tqzzZvRaY58SkUvCo5tucEf89AuRFC9sEpML
0WlhWbxhxyXKIDSS+FhWOKgo2MC8SX8B77dgcbcuZJQJRx2zAAqnBwvMSD2VXARuuL/XH7aF7w3w
t2M1hWenEJuhrig2FH7Tfvm6dz8aoUhPxBnjHOl3z96qQUp5xyqO3BUzdcuvaoHBIgwEJSJwVS96
4sKMTXR1pLte9sETOXcQNw5brxslWjbBVLPwzyn2SB7kb+MwM9l49ZsaBmntUQGPFYx4ogc3JSLK
GxpOZn651gWnc8mFtxUsVvnoAiVKarpJ2fvup3lo/yzspybrjf82F7LOWxi7fPDUmfsL5NxC4HGN
6OdVE0w63nh5n75gNSv38cLuke1o7oHE/ZuwvpLMdZK/plaex7htGx42Ez8cggeznq+wZ4H6ivES
2bFOC+7+anLmT33FC/VIKyE9dNE3UmXgbhsKbSXvWJf2FXuc4uzewrN64hcPzWjz4eVaFwrSEXCu
hIgV8yODaQzDInFyAXOjuqEYzMQSL+gkiZzVR0i/CO83pxx2ozEn9DJmPbsZT6v3smqBIBPYq89s
8ryTG0XRp9N1zbaPahAmAcVykhVkG/t6shcDvqQt3fLztE6FWb22Qurv2aw0PqIq8G6TGEPBKmTL
+hhX03iuG1U+V2HH11bXlXdbiaRPiJgA0gGYJT3TRrG759SnwRGj4nxg2MHeY5qRfGGztpw7BDO7
jR32i3QF5FZHDE2bqUoRZpxx0h+CC91GCnJH7upCeyBP3dh9tm3lbYMrR1voLLtzErt2aSEBDAKs
dSHurQW9bWurc9eNMOcXObfhM7ElmVhzE5jR12PzQIMX7VAjdNebGXp9/JSNXXivXdpNtxww4qdl
tmxX42hO0a7hyUxd0+TdxHlFLH9StFjHK8cAdgtiivQkP7ODmYT93mvBF1eeVQcPyZyCXotysJ98
njpsiWV3QZRNnkB4xf1wJaHjBYrO7dbrd9TIoz6vIMNAqtveB73spf/U+2Fyl/Yz/iP8ptOd52i2
HXLkms6qiifRlddODM/fer1n/HDipTuez/7OnkT6G1CerKEi9l7CK+rdmIb/aC78N21AQbKmzzVZ
Lxou9iau1DexXwXvWdDP94VZG1+VKNInc1qocrvBpVr2U/CH3PNEnWfZVNGKHMvix2EVdJmHke5i
dNgTcmaWbFxQvXRtXlF2P67p8kxKTqGD1iTNsfMFh5VT3m/zRjV7s/XaUxFTI8VW2zTX2lPO1po6
9tqlnec3tIzjxXcpCHudF+a+uuL3wRRQ5Ej467jLrEphrMuoaCNLEuWwlFSesZA4WkX3Bv1I+c+C
+9Nj1vGF2PojWswAPJrUzRg74pjUipPHlXgDhwB/xGTDWCaLqcDk8Fo5RnyxF8OBW7Os5lVIDSJu
hApXQuM79XGkY2erRZvvXCMe92KIMWcnU/Q7WswMrl1x/k2hAfE5cjs0WndfFW28HxgR2GCOvX8r
w6q6p90pPqJCNTsLn8LBaobspCVJwMPipgiMKSKptWc0wopQPbs8+3a+GJoD7SLyg3GmIf8zfkxK
juYGbzXDHOvqAWyWXpMqOimvT/YqRH0esTueu8XlAVBKsmoyfHN7aEk7EWRg8CTOtnhv258l33TY
pkMujpCU4iPVtiXZ1fgt3ChtkgZd7qdaw32SMJLesPjqP2ehf+arPSWnhZLHKbcxFZfR0Z9qaDmD
zStXILnD2sCtFg2ZWOnEK7dxQESiLgFc68UPQ6mU/9AWJjZwTU3IyccncMbboY70uel0I0Az7ryZ
PL/cwILsVNEzL/sHarlPPVqqMw/uvYu6TJRCPq+tLFMkvQBc8Ovs1yHi24KUpDGuubbM1ilQ6aXC
4vNqSj9cc/v0qfYu9QsyxPiZ4PG692cbUcj0kZYmqOWDbw/usYqQePfYwhcaZrEYEUp+l6mmvssK
lx1B0x66xZGUlR3mJOppO9RKdKgy87y3Zqr6LzU3v4rF3NQQ1rzRV8cTpkb5ZS82KMm4sRbdWO2m
xSTFoDef+sU4leZsIrEC8pwTmiJVrso7TVcNfpLa8I7FXNi3lR8Mz23AbD41wKerjjQCasDRZlvL
7jH9o9e2k9N8IfnJXb6oud6i60bSQ64SrbkbsLYfoBTcnbMowaKE3FqVSiIQ91exmGnkPufVqLd4
QxGTq46yUm1oJOYq60qiBFDueIRbGs2CWxu3YcNRH2y1rWITL4p1kNO6+hwgfY/szcuSm0lLLXO7
KN21bQyUJi/6dzonJWW5NeuJzrGpHQkQOuR9kSrzEiU0wqfgZvdV6tgfNkE4WLJy64fCE8L5FgGH
Bml+D8eO2w0AQ85Fgt6W5JIhe3grQyg7eUKfKssDHI3Y0trdqq1Y9P4+Vij/bICO2DbAAdKFDLCw
9/iHZUHyCZGGNnqFCNx+xEHmXOEC4rSMJ2shDtqFPeD5op7iPGg/7YVMMBoYBdCkj/pKLVwBhnxh
GcyFauBeB+DgR7AOuPzaQ3MFICTNMA3FtAsYgbcX8RMeFmDCucITYihKccHjA1SBHA1gQSnlMjLK
80A/bDLUKT+INgTHiBoTNCNdKA218BqC0p9XEzqXTPor0JG1AVJImVDAfgU+BLYChEs15jcGXF7x
PCwthmW7cCIFdXXNiaQM+JF5QUnoRhqItKAitCVEKyx0EW4117e9w3KObfecwKQ4ljf/4tJZf9As
B7MyDBDImWwG7HSO8axEJM6YLZs1IyRVgwv6wlsOCoYjHyJGL3CMtWAyedqJVzYz5srgecQkDUpT
Zrm6Jetcf0MGUayULNDNuOA31gLipFcmRwuwLNYPNbyOBcDNbicsag8ci4UBiNrC9/h4lCwUBLCf
9EoADX/RQLnGpyTov0OzaEqIIXWlh5xmQbcJcIa2SijqYxxGPaeq0ixa59BcKaTiSiT1QW9u6syj
bdhdkCUnIlMRPbZCmkyoLHvGXF9662hBncor9ZQUNYd7XPDCBIwKM/8GMsf9pBgHDaUDn19nC0Jl
LTDVFHhodG5cjDdDqPyvLLfUq19Y4m32S4Q8WcfGfSWQ4SkDdgWhJg4B1mKiuYyGka4+Monnu35W
Wb6Opq7hekc0kl6TC6dwV8VCfrg43PclHAptYqUArbkiZG3QQXgnwvsmfxghBcUxOxFWtTgemXne
0oao073lI72kC6NWeKZzAIwgcuaKsJVkNx6GiISgdVxz91jbIbHF/Er88oyWILFDXtG4wslcte3/
Qubsgkwf0lgWri69MnZdYSHzYA8eCRaLxvfeX3i86IrmXSk9vxspYBpIk5a4RNoZUz2WXkifjCm5
y2PrWQSCGC+3xS0VXWFAyh4BA6UHI0gyx8ze4ooOknYNFlD0blvfhAtdmF5BQ16e1FNlfxGI7kIj
JguXWJTEGbAQISauFE65Z1ub/5S6sH8hj+AVyLMOIK1ogtq/S674Y+ilr3owybqAovT5Nq+sZGYE
qMiJ2xESB75U3rRXxLKthaYBtZfhM2gDt/kR+YY+OCv9iqahZQ9i29o+c04gxEmTglSKID3yWLDU
EXonQeWd03ClQJN0DL5rr6tfsADCOdDSwYs6s1npoR8SpiSReSVp+QtfmnU1rCmoKNwp+FFA1WzN
rjTBG3GbjgmMasD5yYF9ZVeLK8eala40CaJZ+Nb8L9Y1xia66ZNe3aY0y9GFDX3x7kcpYTwLLMs7
CW62NkFoJbJyd1ZXvHYwAopgDAf0NrKSNN6NVyI3isjXXvNY4lwZr+QuPLGLPbGaiUTrYI7ItTMQ
IA0fBtj1M0UISEOEZ6/M6UwUC3Azt0i6ChSCLvkieZWnWztO5gdbR5naCyajmisTlePa5D2/7Rco
ecDYBnHXYkjUZgq1PGQF6y+wwJbi9CvTLKCbjWowu/N0ZZ4NzVOG3PSFhU5qk2VSE/gL0QjmdNvM
LW7MfAGpE3TVEkBi4asFSr+/JxoA7tocJMuiqeILlsZCZjdd6UW7vLD+9JkhHmu87mweU98H5qpa
TJGQVeRKxDk9D0auSC1oODblym+18SC5aoiLncxQP36fcIFJIZnFAP+641rvJn9ct5w+cgYyj1QR
wA+2uHQ6M7hqms4CQJBcTAeK7+J+F5MddFFJp04gdPJCiCKTdClUep/r/E0ZTrSFuAyyY8pDZEtU
T7uSuu2jTTdG5SeCjvFTJWp6TvOwM+iOXXJiAo7d6ZTzKKR2SOQA5nY4ioMell025OE3w1z9Zaai
eJmhk+kQVEOz5bIW3xgWYhOa5fIdtRGp+46/cC5x7v62DD3s2Fo4u5GFwomVjrtOHa+7b0wI7w3c
nGORgzfMB4cX7mOrB/UYzSPvgDSzkk1sS/tpybdA4JlF+5wJ2xqpDerUbma/InfzEGAPLtBfWcso
+MBd5OKKPQhevilvo95ZsIB4SG9ZNmTwYTOI1Rm5P/QP5CY5yDNxK1DYM9siCSJ+oiiaOsTRmj4p
wN06BjZpZUJ1Cz3nwzeCDKhuqEm90Hj+ebalsf+UcTVZ9VUm1BL3JZ9r2xLPzKJyXpthTG+giRRl
MLZp/eoHZvWHwFBQGKdmD7AWjVn8BjEShGk5aY6oP7Ls111CQR3lBksBvJszUdZ+sb+Kjv9t0uu/
Kq//8/+nwjTiXv6P+uzpk/VN+5l9/quxBKFz+ah/GEs8UqOFGfr/KEX7pzQbQs96jmUSZE3u7D+0
WUv8jbaicFFt+aswrP3TWWJZf/MC2KyQ/+PyL/7/lTa75CP/M5Q9AKoki509s+NTNip4Lf+7MOs3
jClBG3LZbrzDVE53fpT9gVLf9cSgG1H7wGv1j+bRuvoXFfu/0IRFwHfw75+Z5DNEFgvIwsPaZ/2n
wFmiPByaivNu60dh/TsiFHeFPxUj8+CBGh1tcyYvLOE7oKE+MebHsWH2PeZ9zPrIatQf1wsnJq6p
I+ijzIR4Iz62OqU293zEwMkFF5MUgkK7TOLezTWtgh3pHjvHi2xGG6faz36Pukem9o4gFkVW60Qi
JuUZ6FN+fTdAX2+QOL9T6sQ3HcJWGjpIjjA+q0CXJLcWVBUBpvuGbZ7aeDRX7linj85o+RRIj6BX
VmVY97m0MgL3jBr6emR57oj0WYaCzxdNY7MHdC4eyK0mKys9U4bd/MpIAFyN4WwxL7H74mGfJXzw
MCXZuqiIWnR8w31BUxmJdO0sSXBRWJ+9svDWFtuOle0njEnKJtiCpRb21zyVF+SH8BGQFtMH2gE3
1YrJx+4eJiKiNhHQ5Rt7DAeRpHYN0n4ySFanN8TdYDTtn2jkfF+BsdUS1bgN2cwNWP+mwTcYZEPz
Baiy4V+RLvxNpBzMv5VeNv3ulBFsS/9svSqyadgLU8QnGyfRafCM8mxT+Yqa4vm3Y1K4d2YyJ/HW
Zll6r40sWPtuY56TZgQfVmN5P8oBfnqmspXKeh208H0FTV1KReW+crvx3Kei3QESleu0TpGCknY+
lWOvXnSJ62StVYO0Ae9QXWx22BubYC+DCB1s4ftO9GF1L+3FDxy7WUG+30QY+6ZnMmRFqkKsOVXn
HnxMzhS5x/gEitw2ubdEgWy5YE9WS3wAj907/hwZxja872/PCDwTv3dfbnuvDe9jfyBP1+wN6ZEA
hETrkX587Jp+kfvJee73xOkRE9OYtrN3Yx6zm0oq7+JNqA7keE1+hI4O+RaBKRNKVjcpM1+gpmPE
wIoNqfLUL0iI9kOXNi+kTJtvEvH1N5d79c1PJnlssjK8CxDZqIKe8qncMsHGb26Jw3SVdCwg7LQk
k9DH/H1P8ASfZbZjigtoQmzXUx64H4Mi9YIEAH9cR9SzE03fU5yxIQ9p2trJaO/SJp+e7Gr+X+yd
uZLcSrZlf6Xt6bjmDjgmoZWYI3JO5sCkAksmScyAY3QAX98LUdeq65XQ1k9pa+FpJRR5k5EIx/F9
9l7bea4kE9rOsLpfKAhsRAnkg0qepvQZo7PY6KcxkiHLjTp554ZXBHsVtPUd1eq53AVh7L2Na/wd
wIOc9ryqp0+8892rWYMCG5tOn8+GriBKO3zaDSVXFCAGRdYiXcpG/rbwnH9Lel2+jW4WPeHc979X
gENHwiXFip00jniJI9I9G3xyDJ/MbOW32mvYFMwD+6K4icnhRpmXw1Z2BijPaRL0UEXbwkIamHyI
kQn+8n1CdcBRJiPhoyRe5Gbs0aJnf4GmnVAe89yaka06bq3iZgEOITc4ajlFcr+MzYZEjfUw67kr
0ceC/A1IAu5gsCMZBHvw0V8Cw7jYeYTMTwuYNRq3rcyfOQnt1dO1wkC8oWSVis0we7TKInm0ex8I
ZRu6UDeXSpqntA6cN36ltLNpr/Q2XqC9faS89ltM0fNOaWWg0bjlU8H4vl8YjnBaelPz3ek4068S
PKZd5f3gMOc3GuiKKabzJbMWFmQr3OLNAeEbMxdqhJxyYmIRhlB4P/GTUpZ3GWIm5w0/YUjB9lhx
LIwRC6hdbi3jvWHr+laINiODqIqsw3ke2pr9Y2h/cGcbCWwPrqv3QlqV2sEkz+6y0B4eLTfQrwGV
lTRLRqMf7CNTqe+mXPSvJl6wtWA/4EhPRbjyPOyWIUsXeKk3cdDO8VlGFhtx33Hyeyp7RfJYi9gk
e+VRYlaPHhalDsBRiFo6YF+cB8m3q63L1MPcllmfJlopgXMctd2+sit2FFWnMayDJDsop2E+w7FN
T2fkgLXe8uC0466pcwZWPLtlTjKLLrEmqlEnvNnt+L9IF8Ay6YZh3e2U/JFguYTZqLcaftYdT1L7
w4cQdmflrf82ZG15IS+Y3yyZ4CDG1VmcVlgPQctqmEFUSw69OEjNverzAOxbzkm9gAIjvE98DVeR
q3zQWp73bcox6ad4kNm6a4FIi4jQ/pnJkzy1nkMEK6Vqaj/SEHoflEYe+IeiscV1+V5RYX2J86BO
t5TlcTv3ijgnM7nclDbUTssnzOTz1dtj4bA+F1oFCSXRieYLlwACg9TPOHKLexWRrdsPJoJZnTsp
SxFbu744RfHMBS7HVfMJ8NNvNoPX5/Nt7c2FZD06ohQTaOAXjQEg2wbTRNWVlvzbQIPP353F8V44
fvUj/EfvGItp/kBelreYCCYMA6y1P0p0CDzaHYQa7uOrGjGykwG4N8gmxNizgro9S7Q/zOD2aNnW
eB9Nkf0o/M79jU/N2gZRury6fJG+KLKJaIkWXnqY6uJoq3TWFNX3EUm+om9/LekY6y3rJp+mutBy
YWx0nv2Uqmag21UO5wHncXHbjKP/4Q5J8meh3CKhP6vB/MmdhB6Qgfw/NmfQJGB1l0mN3DHiKGAF
rb1P3i7pkydlMnFs6VJOG3toYb7XbNLg26GY+Q/geLhJqHFR05n4j5ttLadVbOkHdzdhqedLMOdY
Zq3sE6tEdF+P9ftYglDhkjLtkkzibSm7OTkwGHBnHnoLp/CcKO+bB0bFYIMnS7EtI8UqNpksvSv5
JKBuzYSDuW2yXLWDL3YVzg1WoABhAO5Gu41Q008NTuhbDPgfjRc1r/nkqJ9gFcLiRGa/jveh3aVw
rSCZkmIa/P5P4FkZjsDBHwfKxtzgWTheHBFecwgTBHkcdbtkGjK+nQ5blo0xTstDM5aD3AuI47DM
B0jvN8Oo1LvBCi+xG1UVgxDkxa0C8nxqC8HOKFhgAG14wcs/LepUzTldoCa11bhsLfwYuNzJF+xA
p4z7BFQ0BIrEl85tDrnqgifG+hmlGAI3qatSzCEtplu2c/0PB4QpZdpDav2IYbt5WyTADPiewykQ
Qho2iKKW/MZlXalTPEIf5UW1mFeTG8HLGKtJd54jxwnB6EX0g+dZNsd3rHKcZ0HSKDgUxjMQf+jq
A4bjVPBQPNv/VUZ2u51UtA3CvNi1jQ63Ti89wk0qeTcT1YWuhTOSbXCCWl126DFibukMILS9utih
CPbS+pplrD+Ei+vRRQFTcNIy9hCA9YKSZgA2sriu2XYsmv8YpIyHIQsAUHlusitJh2wsKHgsDatT
HAIy2sAXVU8ZgJ79qqEf7K4t9n4YKV65Y/Q4Ry6ykD8EyyFoS/BotsQRUDt/ML7RHDqma1a29sNH
8r/tbUaHjcXfWPjPC2DTei/6MPlmzbK8swfD58eX4m1ShuOqcKBeH4mgzO8RKuxL1/bEvFNosvMO
c3knwZnp4U/INPilkhFjIBjABCq1ExGKLLnd/HGCbmy3i5UkL0pT5LypO1vdmQ4PUWpbSbaNbZ5C
1Dv2jDtJQ+if1CJop5em/GYWDhUMqJFe9Q00yU1UxRipo76fbEoQkMR3KHDzRfEgMvTC/uQewJtW
5AlkDFfNTsJrrGqK+5JpHiojdQmC7FOBLCYhkK1msed6XhDPfAc9q/QX/H5N6++NHRjkiYwYoNsM
tCUWlWdd8iIaed/PaWl4iGFq1RG5JciYM5MgL0oQMDF0JjR3uVb+AA5KLDyMDROSpWY+Wl/Vr5LF
0kFD//AAFWlBdhaG+r7vsORvY7cr3mcqN7tLaQ3J79xHCafvMmIqAmXPiChB5aFBGbt+E4NTvJhO
BL/sMq5PZmaRjieL7yg1H1zzwApmnxn1EeLANdZ9QH2fJWviqgg3NuLqDX5KxsMQZZdAcBUEDuBV
2gKwXkgWs4r44BPhq2zEhM9juGnThQF7sLjmdKoVj7ZPV+BNEbQ9LP9WiRcfJxrugOJ3tbBuI5sT
QKdqpR95m7G04Hi6XiwvXmtwY2AfIMbcmzC4pPjsL1Fb8cBFfPPPVM61j51DehdUmYJmqVyueeOk
s2MKaOJsghh2klVnvzy/g7VDwba84ZbsPnlZdSMDFmemqc+lbS9YdPPXZPHKXc/lC43NHKtOgSOr
rZ5UDnK9sb2Hji/AQ2pFAcz3XsNcVoTAfMaP1UmDB8jv8zV4y8UCC/+O9sthM2HrPOROmx6rRlZP
RvXlY4nzZtdLpsYVeNRG/GdmVdzWeFX3cPRZcM8Tw8WUeQ8UyHeHqi5OAy+2bcZ8GXe5eay8VryJ
qkTyU1iTdmXbvYM4IsWQ4tQdvSDYh5psJlmnB2wdACRsd/BOtZrCM/EZxSIdqtnICRWKXRg16Y2U
cMZJrQTLXrRFdZ8ENULd2BoFeSekV4HD+3fQ+ccmEN0fvbp+4hFIeD9W4Qfx/uDiJzbpycaLf7HF
l1ufD2hoi5r/ixqoTtCEiNw9f2NuPS7XdODkEK7ildzpl7LtxQkxGjnPkK54ccrEumEdM2xGCIon
n6zZq/ab/Ec0iAWMtpitP+PgV90PJ+caxACQsmWvIkwyxzbLTcBJCscfH2Aszoi2xS/aP8CSyoTJ
Eow8L7BsWn1kEgitORQj02SeBeFTKBVNozJohsPgmpE7jsCnC6VDwgZygSgqkvq8M3VAiTGrtYCD
KoCdle+YkbqLvh47PT/aR+8pTOkTrCKxA8LHQzGS06LBllW6OrDbraYtVgqVb7W/rkqcSno/et9g
AHRpfd0pGH7zLgA3fQ5HDC+nsoG6xc40YYg2TuH9DmKn2KUoOTed6cz9zMbe3wqRMJgOMvOwLyvW
USpu0idkAayzg+M847MY8cgFgiMR8oMB5rrE85Z9cY1/gZWee0zTiMs5XToj+C94IbcDltFT0UOF
3PQB9pdDbU39F9nHoP9vffT3/017vPRk4Ngwbv5F/duhh/6Pf/zp+8/y9//8j5ffxWcVf1b/ppH+
80/+HWGRfzm27TkhmiTNCmKtBP1bJ/X/sh1CZgH6kZCu9y8ZFhn+xbEGFIcjcq2sCwiW/J1hke5f
gQOAJyT4QjucS2/ffyHDwt/473ql6zrcR9jUKGCbPMX/WSlN8yDtnIwyqU70UF2z9FTykmb6dodD
aJXmdxZww2WVFXLmlfPWJy6CvcZzILcjHYS46sSeDhDBjlEa9wlHan+QS1Sdey6VG4qspns/ir07
B+f6mXxXfejJ3mG/iOoDr5sMhzX3658dX8zuLhNKCoxMqffdc2Xy1oMSvGvqtm7pc+jTiIW0CG7g
5uKqMgZtakIMLU5ZxomWx4Z5cFCYfOCLfHF9aQF5BjdBbsbvHtzFrVtrmys8E8QCMxt/VUvNCfFG
1tG02aqWQo86e61KX+FxbzxDmLiAQglWFQTXtiJX/ACfTQHlU2w4sZiE7t0QBWkFYsN3X6tWjB8h
4Rd46n7an3WYRS/4f7HToqnRcgE9Jbmf4XBBU7EmxKIei9xDXxTjW1uR/gGOlzJX4H7fjJjEJWiY
E6Kw+apFWRJBJBKC47nrHiistSDUVyymuDG6b5Ewzm3vYG9Icl98t+qKawCH+ngGGGaQo+Jq3zox
r4K54AOPvWn9wQuHICo/+0BBrFsH7ake7PqWNSHsMH7N1U9vwJ/SJYK795gKmx+SmqQN5tf6mItM
PkBrQJXMfQx4UZ3FxSawnJ5ZyEuPbA5qbGmyPauEjp6xM5eal/7eHmycaugRz8OUWhuTxaPcTM1S
3ZYWctY2HRbzGSdNdjEUStzxQA0ZaOAAMdNjF76PC/qOMfPtxqlDZkH8IXbceiffKtM3Ds1+R267
uZFUXT3Dpy0JYk9UepM6xhVHcY3VG+chCXOxLwIGGyQmccNvNDrbVtccyiUXP5plWS5AmqEWOhV+
rIwHta2N/xO88nTgYt6d89pOTgz0Lw2hDRO2NRCMIXlEBONlGLb6FXpHdIiHQH2mzMY3qWgVoW6i
QnBwmXsYD4TQHyXXqg1WavIWzfjWhSMspWro6fv0Qzf9RknQCU/fo7bJNybuxaOYyYcSDm8B1/cE
hIYt4HBi062phLbtnKQISNgXvgf+HS4g7znMXW9tsp6yS4FO+r3zRYC1L6vzHVtHB3Wv5JK30ZMD
qTptV4ETN8YJV4d7L/j4YMn2AIjsIEzPZeiwwStrT71V3Gru3ZI4DMUorB3nErtm5Jv0jxjBQrfc
dWjJm6LuJ+QWrsEDgzFDpuQt1qccFDByWnRI15sfE5UmT6rJvR35WBo97CWIHzVrcfrV+zh9noIA
scHMSbl3Qm/80GkGxypV5jKTZrkHppSyWnEwlSYsQ3YY1+RzaDf+icQPN0jm0vElCIl5DKWPoxUj
6c+wSMuXubfr9kSeSP3k+U7/JN7oONj5ZEMMeraTTxkVCsAzl0OgIYnvP2SqqfazKMGnO1npNMDG
s+ZISRi6/QrpOmpqWR6AVTgvI0wyBmPX/sY907ltLUywYAAq7zGhk6Lc2V7DXb2FJnIcxBA/LCaT
TzAwvGNm0v62T3T5lfEI81uNHPuNUaC/LfLO2UdyaU6BQ0OgzIqArEsJRqFo54q7OVe3Gy/S8hQ2
Jr6BI5vdolPngHJcF7W5taR8YSfBxtr3CmvP99e/9/O+fKKYRjwznkGB1tJzkgvBHv+VXJeACUPo
7cssNWvckpuhLzQZnNZttt4QXLJVFGGLD3dhE04jkCCrziloMk23z9MgodKmSE4mrO4FYQOgj5Zr
7bTDtTgJe3maAlky+fdm6/LF3bMETo8kFNONNEv1rUPuADCTkgZKw4cxS+M7hIfgK3fC9I6urPwg
EeMvDZeYm9gr7ZPfu+JnvjT53Ti60zarKPVLSte/YffO79COyVOGTQ4pOxu2nEUVvaoz0mztDmbv
l+VP2RX1vpBWe3JU5b1bSYMBdnjPvEIf+epzI+XmlzR2srOyfPxFGPF31ml/79FyxKZfptuxpkug
cJpLapEqcwdXnblDPNiWwrsUedYTQi+0hCWuzrEVXUTcguGpvUns+8Kav8+6QgOiq6V9siN4fmz6
LL1vlb1bquKFS+50KN0xONSJ/l5gHjgXukewb9OfmTWa4mIr23eImQ35joAhdlRBcduhZ53xLEeV
3U2jpQ+UAvb3rW3f+IH7Y5j0iSUJ6OuOpB+btwFy3iTvg9q+lQq/waZOmOFZDYQJLu6w5obsDxm7
Lm6dmw6+HMKuu16YEpzcUPdVeWyc7IKeNGTbyJ0biOMJ6+CdDMDaAo0z+jS2xWc5F4AsCm/4cArd
UVCTzOkdbRXjsUpkQ+bUsZrnpi/a49KYgCSACpgT8N7i5I7z8mCXbbzDCAiceLCc32Ufj+meV7yb
75XuE4YZKy62mt40cGa64z2Q2l2NadlGzd4uBeN4VXfDg+/15iHNE7JTFYEgn+3oJgyJWQEruKvr
4IF/Fvb42J2zFwderbONwt4glUVmeoui5FfI4/4BBH3H2HOHf2045F2TsdCJmufUw9Nb927pUGpJ
y0LlkB8RWWw/ZWO6fFhxwxbNL6ZL5rShwcC70CVq+nnrhK25o+rH/dnZefQDq3mzIf457YPQ8TZl
afmH1tHta+2PCE1egdHdZ3nVEufVWRS/4bzSxxLu4R+H8N53TKL6YPu0C26CgpUYd4e4PZkqdDWe
pBbjnSbzz3VdVY+8A8xxKPLxPnCR6W0GsrcUitUF6XS6NHYQ7+AbirMuXTaV2ndvl7GCgArTJjjj
rLu2yixfduOKUxD33c4B/nToSjYpu1KCwU/cIz0FrzQVLuRJ0p3vGux/TruzO3fnC/S+gCwq5K9y
QDhvfzvKMM/VPIrQFeB2YEviIN6VvSl3UD120EGeLKdhtVFjmc717J4AHdefLucZcgcjhduVQAuC
Shx0n9a8YfACZZBPnjxkyNs4wp5TasxNlYHlxKbZPuii0jvSLFs3dez7eBxubHv+I2WHfXPkNUW0
jmn/11B0e7W46Mo2o9Z9SKvNoYpNc4MFPTlaCwaqzvBW4Xo7vvRR27/OCkDDlE70ksnpXqyaGAm4
Dt+UlwFgohCxMyRcaJvAiql0eHA4ypItDHeg6uN4y4Vw+dkGC+vuTGQHlcQVtvXceefz5q6uwLZz
f9Wpj0idq70bC+tUpSq5+JHvP2kIgZBxka4AZuQPNlnLe9x90ZMA4HdbAt+5HRPanzaJzt1HvqFs
x7VO2lvuIeVTFdvub3xP8VYBpH9wJlveuwOuQ1QF93eYROGdB8+fCsiEHErbNDeu8FCB2GSmH5Ys
+zuOzeLcLLnZdY3/xQIjPPkV+6RYZcN9r2AwK9X3+4p0brVhY0fT6+xk+k7PDdCyFjX0XJdxBwva
1TOnB2CueJmqQ8HV6USoyjtbrj8/42Prll3eDhccYNGusig7c6Z8fsOLWj1MZfId73r0KCKds/0L
mpPj6xQ90jkiC+X7GQrkwU89uSeiGO9m8NL3rZ/xptPkMDRz074SHM5D6KXI/rn7LrjK8DEH1A0M
HHjMjwC/q9TFgFzk+JwrHuC2UyD1AJJslngYiAukcfIU2zAzysGDR6OX6Suai3zrQQnYRIHNf5kw
AUE+3uOT71NQ5RMY6Mf4PVh9gHbpCaRc0sptfKZH40gznSaQUlCBUY+PvFExbpBEpeLCpRKA0PRO
CBoAuWb1FAubrzQ1A/g9XV6y1sw81iMZd1fKiz8BybG7HJmkBMtmwAWHgvWsbooMTN0vw77sV0yx
wDlDTAoYYcnqmaL9mmFd3hQsGDtCZQV1ogaGT1QasUe7qg9gFfn4lFEP7Dfn45Lk7SPkIbqIvVr/
FDwwNKfJETBIb5CYM3/D1YdxggDiqceqfleGAmhinM4Q2tOOeSErPnMZLvxTNFifakm+uIzZ5xFG
1g7YikKs6ptXy1rMcz4uIKuaypEf7J6tH6UfEmlIhT4hiRM7SMOCfQGdHFx6+kA+tlBWScOwIA9I
vcIYC/NDoGe8J6GpPXzfoKS3uuP35YKy+w7A1fBkAciprQqOSDTc4Qok/MQrpV6p7QNty+An/4QM
/GMf3kI44O/X/XYaq2VH9cWW8VRcWGKKfemXvxsznfADvARDwF8jx/QRkifh4qKaTzQMUf2s2uY8
OnV/xphI8ELUhGNGUD8hqu2b5drhbT3X0ZfFzERd21AN27F1wyO/HrUPS6qjnKXQt16vyg8/iAZm
I9c914KRdnAsi7fgPFl7WdipOJEeQ/+spEVYvao44pu0DI8k1UFTGiqMGfXr4BC1WfAlKI5TpADY
gtIO6v9gdej5G4t42ZtmRNprzMj3vVmK7yCoyVUmUUrWxZk+vYoSZZjhFc6iYQbtqqrlKYZheMnd
ZXqyOjS1jWtyVjUhJQ9R7i/nBaXiOYRO+RlT4nBEn9bfNe83jvjOOfuzKvdebtq7ACoRoLQec8DQ
S0EFVFM/kQpju4z7v/0tlnh8sSj09Td4Vro7z4UISlgCyjxMz+Cj6Jzm6Hf2nxSXyQXCFlwmUDTO
Y4BFe2sg6hFqh2Heim5Idtpyh7vJX+xLG9n2wZrn8vvg5kyuMEAeycV4yOdFfR+1o3tftCwySbot
865OKgOQHw35MUesfWC4zvSGbfRMBNTmqGl4iT4TrGxDGhDd4qy9MjgCF26/ZZoZlvR0Xp5KO1S7
kFvMrR1LagUKqhg8YdWbegXAEdWJgXzR7Rq1EcCncBmzs6k8e+N2Zrmwm1vz14v5znZkfAmZQp8G
2/A2WTLnrbSn9BKOWL5JjfEuisxyT0ZKgy/SIr5tVSbvqg6sRyJX0sTKBBB6hHZA6w9RW/re3c8R
n6jehLkjPktP5vRLEpV5Vzjq0VqyENHe75Vo9iTWhhtr6SgPI00A9Zn2qcPs5/qO97j+SKZIv41+
g4CtFReDoO82c2DXD8COA5IauX8JWnfawGJ3KfKzy3u3mRmxsr6jFMfP0vG79Htv54oMqrma7GPb
ycXH3pR7HwsGCoYG8p5kEoobK3eZOtPMJ0owqGZPuVsGBMqL+dUGn9qggCSZdVwQrQ5i5g7Ov0Nu
Ed43o+1svSjgdM2pGaDCeNUeZMlvSbLV2LVWUb46hWgudd4NRKaW3vtpgUcBu5gxLpHEgNjqW03Z
o1npSFC9jb+EoPehAwfwLY2y4o7GVH5Ymw5sd1KsC//f+mP/P0QTMUbYqKn/JzRR8tl+dknf/idh
9+8/97eoK/6iAy8UwgvdQIh/5RLZfyFMYnyVboD3FG/JP82vtv2XYM3FssexnRCHJ0rw/xZ1qa9G
1fWuWrEM1H9F1JXC/XeuurcC3VnGO06Ap035/wYmssnzTb1tUYbca3s8eeBBINV1Xo/3n+rFNazF
ctAPHVr2Vo5CcN0oyuty0fItxmU/Y+KmP6f+Xs4qDO9HlkZMZVVnfzkNXCS2yZyxk2K12V7XnMV1
5RlZWaGf3DZN3y3lpvE3MStTP1FQSSNmincRg5CqGOnbyotsqkoMpPUs0QyOPUFkPDYjC/ZNWNqs
av/hFiA3hmuydqv4ke5E+UdmtaKDy7PxZ+VDeG7WZbCdU2nGAAF2cEdNh+Jqk8omf4AAb27FdcPs
rstmgOPmAtfEDXatW4/RfXTdT5NbEfkztozvhBRmeSQqzXK78Tl3tyYiMD2lCULTMnHK3Sq4Y3yb
rxtzG+NTu2PdSOcr1dwsywOr9A7tdeE+2y3pILiVKSVJDg2WMUbCV69BE7KEM+Pd74KxOFlBbPJL
O2kik0xP3HBW2pTezF1IiHVaLQR2L3O2QkIBvcFNtetX14FZ/QfksetbcKTJ07Q6FzosDG7bY2bo
YJoNO5Jn7p4cStcTn/Q48VWRvvO3YQ4e4/YxgpJQn91CY6hAZMBcwZpaPeczjqG7lUsUYT0cVLjB
WYoto5oXazowAeHZAKJJ0E71UGkusY9Ph7vroqwTU0b2zh3FDMdBx9F4h59sDrlKrWaSwNjuYzVN
0tCJG3XVbSBIVjOoFahoFKzKE4ZSbCodruDwLAAq6RtkH/wlgedwRiLsVyd7Cvp+J53arvcxt7l+
11+9MZ1DH/xhzvOxOIu57uZ9Uoa2JPyrecOpWE8vXZJYrAsmPDh6deNQxIEPKm7bX3UXyenCU4c9
W1x9PWOLXWHnyjrcJK0YzjHt1bDuF39pt8LCcIMlEJoDuwfnpw7lMJ0SOQC8SMiGY4kLcfzCdIjr
i2N6rjKpbvPbHvrNU5v6jzBLvNeuA3W17aPGOseDTC6BMT7pallq0rCZfMZJ0P1YGKluQjc/jbVN
uoRJPrC/rcMDeHCkevslbWNMXlLkGKAGoedvjIrLrzKBBTu6CK3bgu4O+dDSXYyBrM5ts7erRY+n
RcTlXUiwrT9NRKybncjG8oMUcPMQZr5odm2ouTJEgMcpi3Qd9dLMCexOweWD4I4VOP0+zysX7nCV
uDsdz4R68HnG8mZwOBM2XVyqu1ZLSJqE1meU76xMfwDdtac94xlPu6TbeSs1U9auhju2UYGI3qyl
iI6LP7KUmWjJLLQ1IHImlGnyqn6HokTbLmkR+m2btvyA6sT3Rodd/4BRmDoBVdY3lSjGlw6oKPLo
THQ4LcLpkirlPGIfZZgFs5qdhrEGT57KotxkYrTLE9q3euUF3d10s4l/uLmdhPul7wugolPq4x1x
sO1QjoxkgPUq+TlpqwGFlgS4VemjXqsQiuYFrLxzZvmrgCkW1cqbBsW0URG66y/tJu3FaRfAxRiP
ljeM7tUXhaBjeBgLZ4qPdJ4HuMswkOBnMAQFx9jcJ01NtZCy8ZmNcV2Yb9qkyBPw2ViAJ2yGO2yx
ZYNHw470ZfR0MRyn2ZGkGhck213uEEPbUsmK+dYVTfc+Um/5wEK5ppoIn5aMI796DTJaz3Zm4ovC
iIYTAT3XXUUZ3mlfpTU7ICMX5+i2hsczeV9SS/zsB6Z6Jq8Mq1reHsIhIavVYWHjCC8d/DSgNrYq
TpsTtnduBRCbQ479PO4vzTyHkD6o8FNbqWjgGFUTPZezhX15Jg+4IQTvMxbR32f2hcqyJzFQBb3B
TcjmO/BdZd3QAJB9emNUj6c4FUN+p5xo2QYxR842k06511xgYHsO7fAYpXn8gsukKnZjPMke2HIa
1jvpwubYhG7FXoorl3kNZwZWzivJurHjk0/XIdN7KqbGsrd4y8uGLVWlNbVu6wredhP9nDastbac
DRg98TR4K76LCeKcBoQB+ChSD9FA5eFW+ul0k7MFOfEwLxZOZ0IhNB1p1GPmg+5kW/RvHPrGDcGy
ZwDZp7B5r4a2frLGPoVU2aTLF3GrosXq4rKMmIgpw96F8MM9dcgWePIqz0+dS7INbCoSLNCsxVab
IFg/BGoauK7nZfbY5dSD0J3sOJ9Eu1afaVWBr8UJdkcvi4Ftl0+sD1SO7TAcoCluSHyX95NXp88O
GdY3M+NJyec4dA4si5ZnGm7hX8cBzv+7PFzml3ERQbszGfatTZxjyTtN7A1++0bNJygE8j4yCQa4
2jK4sWuEoWZTmXiBRo3rGQVoSqIHKrqBf6gh0+HjHHhYQCzjJ3e4O8MPb+XFZbZ1g+acUhsMTG5Y
qXIyWwFz0cqaczjkdjDn4c9R2bRaI39mmrUp/YqQu6/AOrh7wOtiNk/v/Uq0wwRMF+1KucPFDfCO
bEp+FhM4V86Y1doCHg8M7bCCkzNkmpaOhHEirkgZnX+RjS/s47jC9soVu1fg3GevEsPia1Ys31qa
DnWnSewt9xcsqX60XKxmidqNiDELqSvhL1lhf96K/fPqZDlNpRiIhMC9QpszxHUKfuhjFtMUsCGO
1B/7JDY31pUrKFCi95W/0gbZ5vv3YwOCEG9b/EsZL/lIuvnFupIK7Su10B/ZSqYTKMMyWamGHpUR
mL84i7A8OYs9nlXFvQRsElQuWRW2dRmhJMoVl2iv4ERlLyUX91S+FHiqf7gSEv29kzXjHxihcBdj
P4fB6PUJxvUkM7AZXZseHBAyusT6vtIba5VPP2MaIH4ZVaXjW43hnft8LetfjeuI9slcWZA2Kyvu
31dGZBpKPsY4RqvfqBUj6QBMoCP6SpeMrqRJi3EOH+qVQFnRff2tuXIpofHiULzSKutpJVeiVT6P
naab3G0byJZOaOan2XfweTtLcofunp4ga0HCTKa2P5JwB6JzJWX6KoGauYZ2obgEXv+I5SA5A5gO
LlVmpaco5MInlEqIQ7A12GNvHvAEo1bBwox5lzOD/GoVAE+38pP94BsbvQhzGwdv8GZZFdxPYgEB
vFAqGqrP+coG5aANX+Y0U7+GsQG+Hqu2eqCdpXkbJjzK2ZUy6uRzcdvZtV9siyaW7zbGijePWe2+
6934GBZjzC7nGql0r/FKsSYtp1nTfeDkWn3xgqQTwPcIZZInct77qPu02yZCghsLopuxnes/+DCb
d3mNdsI/IObpRnQnba10rqDrDvGLuUZCAy9IgJsI95v5R2ZUr/lRICrgo6+hUlQoWvPWpKkkcjox
k39Kqkm2w5x8y9ZcqoXCTsr5GldtrtFVcY2x5tdIa1lUQ3afXqOu4TX2aqk1AmvrNQ7L/ypxLfAu
SbZCrpHZlL05ymrjTDfDmqntrvHadE3aQuMmdGsDwt4kQEef2xncM8/+clpG7LkU1PKa31XLMDym
Qaq2lOLoG4FCdLAtpgJam3+ra/SXgh/oEm2Q4aDIMJa/l41OUK9sTa9LydaFicER8k47zfCozIRR
FrkHqmW6xyUyXUQZ1nsg5d127P4XdWfS3Layben/UuPCDXSJZlATkiBIUSRFyuo8QUiWhR5ItAng
17+P51W88vU9zzdqUhE1OeHjRiRBIDP33mt9a/yeDyolm5YWT8So0aUFRPdNnJrJ769Ki5Ywhh/z
KvHj7sEwkNlrOVVe71LN15wNtJg0DXQngY5qj5r2lvSoQe+AVeAzG6zSfWKATjuZ7FLDWpftiDmn
8FwQB2y0p5g5BHNAt8sJ4vJ9+g5M9ottjQefr1Asb1aaqO8m78Ih/zbRjbXH9ZYb2wK+ZFst8YVm
jEw/NXL7nCaYkzjgssJmCzl5YJiSu8iqp59l1MxbZ3aLPcEDS7rDuGYfKRq86A5okfmR1dLaFAbl
zIZDxuKuk8XHmLTkQAiBEeCHMSvbNpnzRaT5NCjmaG6R5eDmVp4FPMwGAajkt3/w+Dr3XV5g6UlI
ukk5dlREDAIMYuaTFFulN0xRkWaXZ1PnMBREREwbdx0TDmdLRawzl021jKqK8sZZU+RCewer+l30
bGDrpR+oX9E52jdvTUG3NHJ8Z35qI4jZO42QCUgYXZV8jk0r9mMyGG/lVN2S90S7yyXL/GIyh1gJ
JK1hm/ewCSs8q6XwYmhugHCq9Yz6v8Zw4HTfba2JzrELIdEx2oQ2JAkBoOGZ/mzpDjmXpe3r7q6p
Sb3fdH7kMP+JKyfAyoSFdFAx4tYR8qS5Br83nT0JiX0d96n/mfqW9wj54Cm5gXTp5jnI8clK59Zd
SNvASgKmQPfuZrhH6I6bai/BMTy4I6AFCdSnDdibiyKY06G7tpFCv9wO7g3UlXY/sh7Ew9Y3/b5l
bF/d2JlJ/yn7ZTxjNYWqU5q6Sze4juNbvAaUfLtXxJTxPXyhLAY2nLDBcxp17rH5OQjsgZqXSaSO
0PcOMeKZflUg9poB34273HZ+dGAzHnInZqhgVtg0E6okpC5hlxWceEfHegGI/MnthrekREk6OOln
MZK30UUW+fCpx/XOOCFjgj3ZpSbvShqEqE1q+YCMiA20b+PvnClKmoTp7Dza+btuChEwTryxVipr
QzZbFRh2LfY5HcxHev962HpI7Fk4N3XdWeTKQFgf8ODtIuRCe0vmu6ViEMT0IM82cpLVNitb67E1
jBm6n6d/AD2tDkhC1TuSUCSqUY5C3e9nfdoVee3EAYuk+rEwYGImkRsNdjLhEbXbcOhqMNwX61Fp
zbvICRcPFqcR9/NgIQObONPnyMfCLJNqB02Ycn+U+YPyrPnkCICqtOKL+V7hBvbR2/bLzznrIIHl
nCCZjZbeN6D0zv1sSuKjOvRMyVSgAZYMlUxO8j8LbWrDtofbxGby2vj4fVcLQoxj57CI9k5WZ8yE
hYjCsvbjHW7JsCm8PKz6hKYuMl/kwY7snzjuIkUp5k6up79qDiwZm6YT+ZdnJT6GAciYGAuWNwME
8rWqcVWvYFR06wbcM7wIfTDWqWC5pHMTirrYKzOWIYMK5zzkNuNgpPAagUB1xWFHKyFVDeiOY7cX
cG2pTwfXbl5Vq8NxnvHS6MIV18K3+13D7PBS6GjyJz0pPRBd+WtTWPorwB6JBIW8PFTKRgDwgnGz
wCVQdGojK+DPnGjEQ9LcoHtumt6BIlk11jzsrMk9octXa8i99mEWpsFByl9QklsNRr0eoD+OESx2
sRaMbMZbx9fTNZbU8p6FKgt4ZLwXyCUormOGbagRUCcgpSewgly+MNXH6ZvjTN0WESQ65cYfxBnJ
pod/LHPmoyo0MtuGdmaSUBVbxFnN3bLE0jxMRib7gG4arp2ke9MyT/8mnAbBD7q+7mkhV2htxgyp
mynTQ/BvOt/qou+kw/ffVnEfuODJ4rtmUkWgq0RtRiGEDO0ldz+mqnjHp5aup5qMZadfyp8oN6OQ
9aG+MqkAsJJG2gnRDS7bCGTxbWqMxqrCC57IOiSTa0Q7PcGWLNyTFFFp4G4fNRRLIERYnJVIDxie
q72rt95PvbceyHFV6w6JOAeyaH5w7NkJJg1ZBgIhbXVrnGT4q8Jkyvq9M5HusJrrxXl2zFK8iRzU
RYcTfYyH9OAycwpn6g1sBBxscdiJ+WNJC+sJpaD+pdqBCdTiiwcIqSHjkaU/SQ0B/DEZZcKZWkNk
uBQ/GmGYXQCHZtpx9J6/ElLHH/JOmDssdU2AZqqfL3pOeMwwQzjweiNiPoVYIZhA2Jn7SGeIgI0q
RarPMGW46FbJkFkQ/5MU/48nBv+/EjVcX6erTxv+vx8shEPGYKH/lajxX//qfzM17H/Qqv9FKs7P
+0+tuOP9A8C0bummwQjBtOz/w9Qw7X+4Bg+577gm+kR05P81VjD1fxiGSz6KYZumYTCO+L8ZK/xO
toD04Xq+Dr6D2CrXcH/LavXNdHQ6/EFBD+CHvPNlnl8S05lOv1yUv0Fo3EYTv6I7dN9zEKqZjk9U
A5/rt5fpHN1Bjs4hxWEs+H2k3bn1QNkjQe5zSAKlHP/T5MCd9N/kOHh/84rOTYhPnIRvGTexvfzx
Dsoy7v7X/zD+p4/q1xvyyAlcY/IxnJfIFkkCS5hAVJSBG6Jp00eP2NhdH3lXTGW+xvJYLt8rWmyh
Dl/truNwTelPjrO5DLAq50Idy3hZ7o2JmeWfL5Dxu2T/doX4ym1WQV93dff2Rf3yfjOwALOaKhed
UF2ixwDOhmmd/+ZYwjZkqHg0slxsWhxbPttaXz4RC6tnhC0SUWLN/GcY8ic4tT1R3Uv99ee3Z/7r
fcLbs1CWGWgUuSe5H399e67f0HKkaR0MhrSP6WLkE5tsbW3cTiUH2jlMUtEC1wcSjqZA18iI72M6
wrxnb5dMtvtiYjY9z1OCC0ru9US7kIgkMJmRdc4eQDvmjX6mF46R3T4UTAE+BmAkxLM18vrnz2L/
zpG5XWoPTo1nWhYSQ+t26/xyqT2WTB2fjggk7Lb7WbScYvAox5tJom9VbTrQpMalEWh1pz6RECCE
LsB3ALIse0G7y9cuwzT1bw5DIxSwBjr3XBOvk5Fvu04c3TY1NzRrAEwVWnzG0Tvu+zpJgjbO3qSA
6JxG4pXzrHXqNYC1kGy8OR13cnbKfd4WzomtrrkHubxQACVQv1ZmakTbBLHxKnMJ0GASaGNjUBaN
eD359OB/LczFqVrZo8mnR8pMqYtx5dCWOqNq2ml+v6mXKXv987X868H97cF2dUvYFnNJA/7Vb48Z
h2OQcN0sAuiK5bnW8wrbldLvPSgTrmV8kYA+nYc5hf9S4kAsdwjL1JfTFO2HLZv+2JAAR358Ax+C
fmGxYVNTMHIq11hrkSUf6qTuduPYxdMBwMX86Q/KeBxkVB/8YtJeAbrH93JxYqCuuDhXAHGme8IJ
s20/OPq/uXFYWf9lFePJvG0Jno3J568//+XGkR7SB8h/ToDgYDzFpTlQ8SIE3ktibB602fG3jUF/
Hhwn+euNFx8sKWAC4PqRO2OxvSdBu/xnq2L9x5+/h79ZXz2CcTyTb8DBWXRbXX55Z0WMn7sQSgTK
M8UaT8JXMs57WArTBifC3Z9f7G8ug2f75m1UbpHc9VeAzi8vVrM/KOiPIuA84r7qSJJuT3F2/vOr
/M2C+E+v8ttTipMjdToLahyMhfSnXjMRRfF0A1X21bz982v9zYrg+Qwpbjuqh1/qt8vHLZlJidyS
uYRlHiytXD6pnChEW0u/mtMNyF/VKKUhhejEvJLat/nzG/ibS+oTWeajzxbC5pf//P3RLBcEU1Nb
Fr07PhuqsaFCLO6/2YXN24/59WkVHv4PXQiPJdzUsYf988uYLLk3s5AD4qe9ys6M1+CSQ5Qzl6kE
z56eKWrX1qQ+J2jrhIxqZ/C30Yr9xNtkFgnKxG2Rr5vY9cXppApvPKGVmK6dKTmLzokeyBSxtT4k
hCbQwKHturQbvAM/M1rlf75kv98fwMAQL7NX2oZ/s+Bh6/v1ll+oJJrBwR3esO2soyH1QJOgsFmc
Wvs3386/XDZfZ2+2b5Y65B/Qz/75pZIlMgnx1fzALRw8IHOugXlYsCi0FE1WFw07LrX/b16Uo+Dv
TzXNU9YbjkusrIx9fv+6FPWfWRoqCsZCfcNKRu8QGkzoR5N6tZoaOI4xdVf45fs2Vm8uQQJbV83m
O2p0CiI9oYJFHe96LqZ456GTpKaxuDUh7PKQ2TyC1Sh9i8zurR4NakUcbJ5H17uDusDMk3rRVdNe
5CPIWLfTH3xHESRVMvqCiR+jWaBySvVZ39LcE0eidCYM9/q9NLVi606K+Vtkavh3y8vQJP6qAlHE
A3RF8YV8gp3O9h5vkrDz4rwzKfysAHOdK2LlNqS9xK9drQ1njazPrSKdbwPKgRZSgz+qJQcjpE1E
mGCJfPUN+YJx8wBXZC5M3fhpkr0KkcqmGQZH136bUtPb+nr5TcoRDWhItMYqzWIDM6GgoxXRpSYe
hTgRQdePGD/RbgVRAQyRfWZbBcAek3EQ2TpZ/mBMDlHAZkbgk5HZ7LntYP7srNw7lqXbbVMjNuAy
5igsfGOMgkXB/dpE7FLf8454dHqEyMEzRB+F8yhkikO9ubm0iATDl7Q0aG1bK7EvEJeaNdOeYLL0
wK+nHTrCJTQLaxc534aR4pQRcT+b/tesYHcg+m3G4WfG6fI5Net8CyiiDHxvfCmT5q4rqf+7oUe0
YTbGc5Nl1mXMWyiPs6zRZ86F1iEa9Fe+1VxKH9wEHjfCbbBS9rJtoSnHSEdzb3LABffjuYWREBpL
IR760Ss/cZl05wFQCBLRJP7yUMKG8RJ1O73x5KUrPOO1amTxolIrhMxT99s0m7yHui7lRcvpmqym
WE/EujSRWXfZOD8V8dJfwDgMTxLZ3ZpRF9OtJJKhrLX8BMs93qHZ0a45B63TkNFwyHRT3xiY1Hll
R56iRRuCXGHBGWzPeNciHIvIW8TJbCWTbL693ZKV/QV4wEc7uvNHdvuEShda2EbjA2KZcKm/IaCn
7V3OZ0Z8xwjfXIg8X+1rI69/RJFBfDV2K9o4Q8oB3AMC1uQGvOti2fR9g2XxFqdUY2W9uI1KTnlT
LxuEHMa6JmXjC4M/WNfRnu8YG5TnSng/aQ+9VTrxNohFaok2HkLZi9u59c6OFYyQmdlYYjHQGbpk
IWwOeufQxi+t7F6kz9QS54XRfhS10T/HXu7sStLTQt+aa9K1KzCCperuW5DVKEDwVmatLLYtKqVA
WLwpMvGqZ2ZO2jHlXW2kEfGX8+rKCjvR+GrU3ugth3lDRZiIq+6jbvxpifhQMG4DW+0TBIWAHodW
mvAXtDh5HEkrDoge0CAzeN45YhhHCrpGA3qYPzpP1NeiVc4ZQjaxwwi9mS2kRK+U4mGRunUZkpLv
xBxqLLmdIvMUyywPFTagxFdqPaC1mEwyHNyMcX1uIaqMZwAmAmTgU4+Zld+Ty0HXYfGKuunWdGpJ
ubU7vEtOw2zTSLJ3yLcDCcxCnYBpFBcx1+rYC60MNNn2SDCyUNjpW5OU3RbVSbVhQA8JVm83yLPB
DjDcOdV5xVxBmxDQqWxYKY+ggca/cVnyuHmgveiTRENp52yt0n6G242GzYIxGCRw6Aw3J3VJH65x
NB+Yn6wH5FhLnn2LUODwiWV+sfSJwfCcmp/6MhVXOWac9D00WWHWma63apcq20zwn1vTsTeVZK5M
lMyjEWFnIYpwNZDrB055CBEHDYHfmh/V2BwSAsUKO//ARkKsWzXaoUJNFbaa/ljn+AmSaTxWBIjf
qwE/5EpgFXilS2dsZKMqvEuUZ1AbotLdzvi7qK6X9tAz3cbBYAUTeuTTgApu3ZvKWCeKgTPJnfTl
tIZ8jiH1KzguNJBpZpKwV6vojmNHHdZZlh8A744PmsFcjNzo6j6pa3knnK6+2k5zSXI8j3VBQnFq
t/X70up5aERu+nxjijOItVMEzK31yrvGejjk4lSNaRHC+13CxJHJuw+O7g64xrByaYpeW3NG01FK
fzemAzCuPqMcLGbmNuDC9vSqQXvNcIrzNtePhZIDEg4Wb0IQL63xlSf0EVaONnffvJ50uQ7wxYNJ
C/3qABk7SFxXdPTd7KDb1hzYRR+9VOi+XjFiMccyC+NKdEATVrTW93liZqHdEisF7ALym41veWw8
91XGOnCNxK/xk8Vst8n8ANYONXFuxQ90dnqaq0N9r0ibOfRjJ+4jaxBBEo36N1NP0gtiMmvfdsq7
J4F1CHQ/i49j6fErnMmnxs0+Zdlk3xJRokRmwAU9sQmagYSHUiTbipRqmIbtbXXxEwLBVrgT0We7
zrzvbEBpWnsnh7PQ06DsnOqsCqhXKI28Hv2XEwXa4OFJaJz62i+pYBTTlK+uCYmP7KznObIFAnmd
7a/BIyjUyAS0B7sW6jYxtZrtlLexhsMaZrdb29WYt+i0+V0S0B41CFCQR5fCH7cu+qt9g+EHqbZt
Iw5o6s1il9z4Ud9C9ZpIg9vjSV/2lae/eKgbHzz+/QqilnapfATXS9p8Oh2qQprGFifgoq0eq3Y4
oY/cuZ39VXk3cNwSP4jcdzbTPOYb3O4ZXg2uc+ymYk03HzaOax+7GNJ8zDzBQ/HT4pSRNAgIS4KF
558Bmw7nvmcCR4npQBEqUmPr25WDRL4b25NNEPOz27rGtSx7/Wj2SPdx+E/HaZq6z06kCHPHBnqT
qngzmm6DdZt0/4eXJtVdnsJDNBP+nRF52gYIfmsgUJT6NhKZNa7+ipgiUc69L2F5gUC1agACvltd
ZeVWe+z5I+F9iHlWgJbkIU68MewY0ELYM1LjSYs4k2RJ7qPqE+zXI+0fBmgOAVg2nE22yqGJwEoZ
A19+QXBdp8o4nBtSvDhnNg5OnQRQA4JRclOEP70ioy3iTdtBm1tJ/BdRkAF4dFZNnfmnPMnHrZlr
amNRDE0sNpp4ixu2IFdGxZtjDm7oCw10V66YmypV+rA4G8mb1x2IPz7mhmBEydetiEdfzlNOg3LT
t508yzmBSTFmVxRUH7abvQylPWyTZMbcQSrPbhiW12ExeaAXVGFAeNrdYC31zYmK1/K23eim63K6
bZfm1iKaNhXSyQ1I0OGeKa+xTaIh2bpWFoGNcokrb8toYiisthHiOVj1/pbdFUe0dSNhdnOVHTTG
rM/VtByG6HOx3SuK2m/MEd8JQdl780202L0mJmS1MtbKSzPq3q7TK8Ig9NK9L0Yv7zdFnZabWjfA
nBOh6p9KXbb4MInSKguNiZhbkJGSeaI6+qLtH7UuB0MKahMtmDSHU06gi73qwB+/Twrh9Jq3MDw0
kYgvqCwfo6m0UPRU1dtE1ly9ahVJDLSW1E+sk/0jNuYmxDCkBUjo3F2lzfGNzJbPn1ACRpqvDC9i
+zaoriwZ8iSTUA9J5ML4W+1G3YhvAWTGqkVqGzg1SZbr2L+zqlxenJyGy8rwCcUeu1TuXcTCz3qL
Lo5aZbSaVRqDn3LqhZpVT/t5NURO+sW/qYKiBa65aWaNjBWOMWQrLksHNkx5WcD5v0NljfYKLeac
B63pl/cw5TSxSkm02pJdxKDU15l3pXZtYVc3NUiSvveoTS4Fg0vTEJTVXL9RsOsHWhQ1g1/T5+Ee
/FAjuRtp6HIxMoXNrKw+e5qO28nq9XeeYTOYLRXtchBxD9qoD8HkkmSJTKSt93iwtaOeWBGCZSQf
xwJX5xn8bhWIBBBpbQBDvtFJNqllG4cy9p6KUUfh3NUfyxATYpc0ySN6kPpxEZa2HoDfAyZiOe1K
37n4Pvny2Iz865Cb5tF09WjFj4x/3JbC73DLksdBlQ1cOCM3Dm2Gy01mmv/kLn3/zc3Rj26GPv3B
wlKcklFNT0pHs7RJmdttDfQ239UMuQ98Ur5LSJu8x80Zn4wlbgAhTPVdnWEwlPHQQ8VmqF5rZvyS
yiE6w8mqeIDovSjgLQfI0d0Lmj9rAQ3jF2jiFimDBp/RXyIHJmQuVCy6DOmZzuD4nNt0BidtLu9q
f+x8supVd2Fi59JOWdp5V3FeO2AtdX4SK2TiXcqq9GJxq15IdZmrBPWhae6FS32cFFSTO0aH1Uzc
pCq2TeZVO1xc2UvXle1bk9k6/iWdwcGqbhawZBzOs6fBEP7G9GaGvwT4EmBRlhQ2Xlzq902C3kZz
dIQCqBd2OJBRO1qGpAxM2ge2yQzf91Lg8S9v6aSzNz9roB2ftFQrmOx5YtPIBTZYU/Wn3J0ubuS5
3PxjPuwkH0FbSRC3X/wvgH8i5Tla5rOHrBmOLLOOKfYEUqcYT3abcQqJzNxeN4RTPhm9QcNUxxy4
4o+bH4WMpmBcRvNswNCkvOfAg59NG99FEmVvldDIr4gM0Y/rurIVctEk6cOisTjsastMRkttw19s
4/nKB6WFLtsJFgyRQ6R39XM4uU65yy08Es9lFHVfI4FLlNZ0DisgB8jV1hQGQh38GYv9aokMhCXF
DFeHXBRom2ddYOI8GLNTqGAiC4uE43InF8+6Fovlo4pKm3lVjnUPBtoh6Z6nXUgvoM5U575RDUvB
sgzon/LUT7ZlBbC6r1EXClQXMpi7djbvae/hyMJYw6DKq7MFRQQy/glpxTG3/O4phc68xkbirFTj
Uqdp3vS1SB+tJLX3LY26Lj+EIXH4wu4Va8yGLP+6Gq17/J/LC2Km7gstuHPUF7Iq+OjN2xCpDrwZ
0pE7tkKWAb4bGybJUHrtCX3QfOpqSDmIXBcydsSo39MNi1nPR2DMm9Eq0huXV55T4plOtS4yuMcd
5aKrGu8jy9qc7joL90tjgNAMPEsdEOoQ+quUViGtVA72kgbFdCHt6JWREs/VWNyEZWn9WI3EKoE8
ifMtvoCPAmuGpTpy9Xqb4Qn9zBBjzV2eq5GLTQtsVS1afEWkWnybhqnfWrqMDzLxjHPO3JvGRzu0
kOXHqtvOGOP2c9mYgUQb3Qcl5JYXK3OYw7N9PccQUfEhe1jo+SRGd9cuWf6ONcIIlKr7HY9qfGi8
wXiQXaZBJM97Qo0nkxQhOM5Y2dfTNMNUFdBN1/Y0LsfMMCgMqIY/TNF4e7qr8cEcp5+dMf5sO+1J
pwRYoc029pYB8tKrLcjIiiUUj9Lw3JJgduf50r/P0L3/HKFhp4hb0vlEZ4udoeRgjXnCdPEX2QZt
0BbGyYKT4Cfpv8jYmK19daZQHQFUqYEsEj2vf50SG1yfY456vlrGlNKeaAZ9BsY028iLicW1b9AA
CNyU4MuzaFvkKfmiPlJUfvl6xA52niL3YUx6cexZgwUfK9qk/YSfHj/mcBjh3u7hC/aYm+c3nZ+C
9ooYmw2FSR46/QzGiiVi2rTz8t0b6MMhIy3tN7f11PmmmXvt+Oh3HtswUIOq3zPjqgO6S9bzTZCI
8bNZVlk0i5NmgEniLIPeHvjvpjGWY4Kq/uA77biO+kZ+zsVEu60c8I9Lal1tyuTaaghiWkcVHuza
G3gONANpJUdaEgDZrBTqULbkPjcnnMCLFtZ6B0C5deDoxYMpT52pVVvdbt197ULRXLHSGY/SawHz
If33kal7E2TnbNovRnctozZ5MEz6gj7JKtSAg3WMIkxzGffh7Mx1vPY8rLl84wBskNczdPUUd2zi
HzBzvCrNconkdBwE8q1cE7pKkhtZcxvB3ns3ZI519MbB2UBWal5Hw8kOpCART0oWb0BmI/aosYF0
4fvqOCkvR/uqa3PgWwnTuor66uKSI7O1RzUeWqKsf8TtwgZcYAqxBGO0HKvoU+mI/FscDwskrNh9
Zl5fUxKlETAFe2iswAOivy4cfBIbNN7es6elWHRkYT72c+VTz6bAOOwbVmDpuq3Ea7huyXpbd00+
Vmu74lbxbcxZoeIsCUoKtPsqBeGxxjIbJRsfhhbHrRn1auqDCHIAfPkA4xRHexSeJASQPrHgSW5k
ue1Sd7j2BoD5guM9DFjaIzfIlUk8ry+UdkmLOTs1dR3deRhiw6RGTq6UcO4nuyLZKzeqLS6GbCPG
jhqI8M1NG2XyIZ3qh660rCeDwPqqNb+ntfPuF1BRMXlPKWA7FDROspQdJGhn3c/F0RkisYvjRL/K
+q/USMu7K2eF17bLv1WJb64MII9fjWEaj25r29+GHH5YyhEk0JrxMcJEzCLtqKuCfbAbCpGfJnZS
MKnEIcXZcMXLHIOVLsuw61vCVEu6zDR0rSOY9yEUCNtQ+kJPYxjyNnioy/S40EJU0fuxaN1wsLmN
sqT/IlRp+ZwBeQPmmtYDWtr1JHAxg/mByyvLvW7WRUD+Vh66CQhQDPk9Ri66A8GCsv1bPwzbhXms
1VR8x8y6An3ufthdiYYSqvTZG/oWemx+8yIS77Sr6D+FdqQP2xoXGgjR3vQCU5wbgdm56XPg6a3o
hi3eIuRLPaNlGWC9PHigcBepBX5WncZUG95KH3iKp8UhFDxjj6r9BrJErTro7brunHtz6XeapL6r
QWQd2iY50/sFwmaUIemsl1oT+geSbMXSRDlsqnKinT/OBxpgT7lv01bQXRKKCexOoZvF4yD3SGoP
MQJnaomp+LRglwNkb7+jYLvHzWuAcE7rOl4ZJphrZvsm24EmUOZRAi0i3bsmGsMVsUewkvqKSRZH
D/cgtClftwsFMhpEF2EcEk+gVngjb+UEQTjTd4h5zgGavb2xaqSj1jBtY9bcje7G+YiwVHzUZWU/
Ok1cDUGcmAmgMM10tthe+l0xz9Km11Ind6RL505ogdB5a0dDi98jfoPHs5UwQy0fRKsNZrlVOMmA
FoxBznMr19TSweJ5s0/UvaSV0abzBTBG9NhIEKfp4Nd+SJ7W3heImr3GvGuEmTLAHJWad3jy03fo
tOyKLlrxVQt0NfumET7MyNFAX/kepxELsSEsOKe496KDk1KfrOPcMdSb72f5xY9dYe0ZZ6M1nQfm
Iwxos/tCgBi/KbfXqjHpiTqQXIaY/dDRGSGwnvr4C2EhXjM15o9DDwp5zbpRhVa20NPEco/50Ukd
9w1q0/A+16b4JJ43BxPlD7D+fc7NHXUdQNepIPCqh0/UzEa/ywTbPTJiuhFpPFItRhJ1iae1rzSK
2yAzVcsIs3fvXEfQw9fcFUQaUhaX4uTo4KPQIZytzNx3pXxPdFJemHOdBft7XEPE0eJDlxHNaRuY
NpCAV/GFcNLuyB2XvEVN1lARI0LvYv3enY1PAAUDWm0SIXCupEyX5gaRMYiO0v9OtPlVNNOrHXUT
WuaIY0a2WM1+ynktuEqhXbX1yQeSvnZabnT4BATnCfMmsjGGK3t3xQ6Z0yXDjl3i5i6pVHvNnuJV
sYzlz2UkhRXnSQe/hHT3KrFWZLlSM9kj8C10LNEaR6V6vEWQP8UDqT5TatGkLkRzyhAw6EV+7Cwt
CozJNTaGl9CkILM5QstLIROgSms2KO+X/Vhb/ffUyIgBaZ15Oix9p5NFIPKMg2/KWLjp2XTLIWbJ
S9Zkr6/mLPZ3s47LQqfUMVl/yvqkF5V4bJRvcNCif5rqGsMRkb0hdjXCeWTFpbc6HVMMoOA9puV1
dqnayjWjLDobJIOkZ/BYr0oZ1oUokwjcaW/N36We5ruB0/HR9nvndW4wlTDOFByt80WArJh9/TgV
Gvwt1+UyoAfTsrDs4uhs0Rr6QW1KFbJk0Skd44pGBdePK6klrhFEwiieKOFSQgjaEJDImiRxYJM+
BOukG/Onsm927SDVVpTquQeRxRWMnxggh9Lw3F3BLCkYlrZb6wRIEiffCnrcmXa2YkaKrCvpU4+9
B8WIpDIZudFWhaO3X9WSnmSDfN5O59A1202l4NoBQmHLppG/XryUDnwiA/jQ46ZDaUNQjCnjrT+X
JjU+ahiSQET6YQ4mKlyMd2pXUn++6pVPb9Wxm73IzOYTxCjWusnkBlFYFtNV2fjjY4FWFYq00ee7
PIK14S+Le+8mROaZk9O14UCzjmxUO154X26zgj0fX5ImPxHwyclilOkdkxNGDmZZ7KbWxxvQ6gPc
NLtUy3WZUnCWrqGIOcJ0u/NyvSCPqR4YJwDqfoX6k/5YjNZYV4hrHh0ZjfSJJ5kexGKzhAl3fOhz
xmYjPtmAdQOqdWpKSqamtvetiRVk7UCZOSnOMXfjHIFsHzqJhTNJJgTjRDXysPdgHjaq55KvNXN4
zjsgjJ63EC7sjG2oPIMAad/cOy7wrBUOx1AAF4Fe4/TmkQquXiU4roFRQ1q5VJIg4VT7SYCKtm7d
QbvPbydetZjpFb0eTjqooOu6LGCOLIsDDjazHnBjLs92YroA4TSBW3JB9iswPQC+wcqR19Mauyzr
VmXm9+icCPdzR87OoM4OrLjTGtaltx1YpUPHypn71+1tMtZExktBu+EOWNiwkTnGhCq1nCsS5fRI
Crr4Yfguod909dg8clz0mwH8CBAgvK/kVKoNPSRro2ODX8lc618xu4tHg/vzkkiDWymGDqvspb4K
pFqrmjnUmp2n22QssjSoRnuvNzqc3Cqf0w34u/IxLWUeDnArXpqIta4m5jcLVYWybTXrGZ/4Rtsf
bzGfTJbQ5QO3rJMfNjraNzF66RneX7NhnIiIH6HiCsy3WHvI3demjndH5AUs38qaD4n2H9yd2W7d
TJplXyUfoFlgRJBBEuibPjzzoFmy7BtCtmXO88yn70VnVvWff1ZXIYHqi2okkEikbelIhyfiG/Ze
2+XKCcuBdwekkfthjMbXwp0/w8FRN2K4H3igmNYzTfLzrEseIohm/ZawmrVzWPNw77yF1fWhouvt
DyWHJ0bgph2OPNY15aNiZDrmLhBJSJavTk1823oRkdVbehmBbwa/WSQDi3ctBhEcbSdvfkhilBQz
98BR3X1NkMKpMCfHT1MD20g3rsDdCCbyY8iw6JmnK/6SFpV4HyUccu204S4ki2UflMFyr2HW+7Wz
xgZBw2TtnAnzHdVl95ouksGUm4PcSxaxMvwkFEJXh59euLhbsDPpztPL/Fx7dXUtSBTac1tkO7yE
7bmYoM/hfB8k6xfxu0vufUKs64tBXNaWEOvsbBNkezI6D0QPd4gCvujO+5akljsGLd0JDpjxkWL0
eVMthXZBk3RsjYhEWe1EhwlkyF50epfJqf9pYBs8xaMMxMaRo878SMTXYBmnB57IjJLaar6Wekh+
KC9jlk5o1bPjyGGEpdcz1JlZH6NgIHyMpLUp4b9TpiQvRB1BQ2G5QUi4OXTts5jy9s4CpwAE1y2G
czcLeLa2MfZYMrz4WMcRG3RQwQ/kVLh0kgQgHz0RZbtKd2hURMVUD4LCSzCAD8SFQCECbujcZJKc
PIxVe0JmWWK6S/YaNTkSEgCibEHLm1Ear05hfCqknS95ZdRPpLMFZLpO8VrVloOPk+/NNJrhfgbn
8ALWbngy5qHcJsnjyKh1LzEmv+P9aR9soaZ3IyD9NEGIclFl7OJXCfp3jpV3nWbqNhtrfTDm6R2h
x/ICocU8ZGGUP+AAS6F3DunPYQjafT1K02/yIaZVMTkdEFgd6Q1j8FKV7Eg2ciyb0J22PgxwP77m
YY1LBBy9/EGGOPVYW5kG5pRlviSxHW4LkqiONdjRLeGwix9WvfRra5VGFL3L0RRWp7zSzH1WA5xy
+jOMpRJKnBDvsL5LzlpeFezjOBePDFvjCzY/tWdmm/BVYaSWRD3B08jUQ+VAos09WEtGBAi8F4w0
kuLXyLxGT9wZWdBPB8poEN+zsmoy0SLTD9qkONaaqbF2w69uFP1EpfTpMm31Q7bYcSD2k7O6uVud
HKq6/Ew1zkhAZwdSzbNNPqccfjNYhny4hk14HZ3ybeo5diBCbKeMxZAhZtx4YbTjI+v3wiKZ2BEE
n1XPuOmOKIbg7A7RcU6KzLdHPP82W6FuM04sstyecU/eklEijeMCOypT1rFP5qtVM/2egco/Meqy
jq07wYfsQvTI1RLTTPZ98s2p5mZvOGFyc504fZbsv17sgo6xXGJG4XkpDv9jKYG1Nazud8CBww/y
X6wb3Dxzv7ghBqw2bl9/i/P+qzNY/xulq66uDi3xLfwHXpDy7+BS//Yv/s0HIj1toxqyPa0dTyNC
/asPxFHgpejEV/n/agNZBekIhrsIo4L9L67go+MJR3qO0qvK8V/xUta/oID0BCJcS/Dl3H8qW/Uf
pIa8MJPEAIvpM1Ju88/KUGccCjsbx10ShuUG8R6JwwktFgFduB/zZPpPNMR/Vm+uvwgTzzR6V3TL
ev1l/FG9mYWqTXVmjrvFapPNYoW/hqUiWmk0ps0f3oN/x3oi/0GjzvcC6OVgPV1V27b5JyVxr2mh
WFZAyBEmrsDcZmNYh5E4JVJWtxSQxK1fFJpC2eEwqxvvp87K4QGtXnrKPYvDjohPcTbnkW1L2hMn
skm9sPnCsoU9S4wa+06vWTowTNrv87jYAVqQNWcHnRs6Sdxe5O+Mqvw0gn4d8abiheE+OT04bmtx
6azGfIgzSfBIu4b6dIljfXY6QsLyO+/HbbP+Fwu66DPUcbBNsa9syyBbHrg4NY1JPYcH5H+Jn9IY
PSYAcC+16ZkDByfw8k0aYRHecEkEXwilWLAHMrPFMgt0nwGJOztkmoeGc6gWZOMkPCbYynpvDCH9
WA3BRcoZml95gtLDafXJCXkexNDLHavtazHrlzXjoNpCSA/OC+CfSyxt8k+n7DpFsmPhZA5+GFfv
Ro46yzXBJFukWBW2c8Xx3GxiTxKpVDUACjyD8JgIl47Z94yMcckj5fAyyNzaRaLJCmEnmM2caQrf
Yw9FSj5Z6Xauwf9qx2D6Pzh3HQNo0LGeH0WIbJSYup2NbndgwnxIYTQLTNjMjJ/memCUAwpfiyk6
rNiZbZZ7J1mLwU8rxbdvGjawIvxVJJyidp/wPyKkMIhkjygWPH8gkA6QNoZhbfHNpc4Jo3fNx7Gn
Z+spg31BzghAhVtehCl0+PD7yC20wW/oMpk1DvFoPpZps3XX32jK5GUbWNFzJ5LQNyf50+6Dq0id
E2oIaA8MyUxkNXB4CeWTrXoMKPHpIMTPROd7lZo1yNnuoMzklyk1mRNB8w4H8RcLnDulkl+pF1/h
aZ+JcRJ+OgT0aFH9HBIKb9jA5OfhEgXpoVPGNcrgKkP0HLjbXIa6dVDXIWG/Fl7thMnFfd3Zd7FR
vhcD83tu3WmjxuxietMn3nmoRIjR9mnOm9dMLsihkN3z0I3eDmIDVaWLXI7BMT51y72TyIjvVDB9
j4L2ywQoZWdLiKCY+2MYi8ZLoMLrDLTKXxRpSqXRBr50Sqi+AQHyOrwAjC/ZC8j31PT4AZjWo54s
NtkYfw9sllMFjlD4JY7fOYzd10orN/nWepTGCT/sgPjEHn3e2Mcoh2YWlFhljAw8W5DzQU1rubx0
RouMqHVeRpOftHBQCRS8D0xPv3shKrP/J9fmLf7R4Hf41f3Pv2Mx/o6M+YEDvoEz3P23ii7nMnCU
w+X2f79dtx8/m4+/fBQ//3L3EX40fzl+IEeK/2i8ZKT7t6/ytxtXkcXDxkzASrQ0LkAO/r/duJIo
HswDfE8b8410ue7+duNir1RrFI9rq9++Sy6uv124/Al2UFKTuaTd1XEg/hnj5Z8vXFx+UHe42TFe
8kLMPzkiEy7XSQVZsBu59pKE/ZYV7QU0PcJo/jMv5J/9C/gI8C3ggXS42sks+tP3CmEblJXdBpD2
yj3dLnng9bFNHULP7P3i1V9zshG78QvMJ8NZ7sOc9UOk3rNQYjybLhPxH7qQxz+8e//OvfwPjsff
r0pJi+QjXp4mG/7vSoAA+bun8zrYVdG8Q+h3yliK+qN09oQlQC4g+83ImYTqvcs15oXDFsUghkHM
/HbnM916/I9fkPz9O/+jPYZXhCfQZbateU/+oVDIYQoC+AqDXbv00UEm1ilEnflkeSK4n6LI3FS2
kd1DmuLimvRypgTP/W6x6bIxSdD1Ft8MMn8eg05kF0UQLCk08alyin3FXbdVxfjNmX5AG9sObBt0
Wdw0CMEUlQYiqZnhroRQQ9OxU3CJwNRtWoRYq24ca5BfSPtm1saWzLl9ZRXbJLNuXkqEWhSftfE0
yvJpCYghAQFk1cQiQX8wzH47Ah8pTHkOdXDo6/LaaglLv9jUzfucGycWuP4yfDdATjg9c8dRnSv4
StI6pt7b0A9fBmIRNwBzIr+anJPVvQVjjyaN8cxQHhQy6Rz7MO77x8U6x05yh2DFRyLmu/YM9Do4
21G3TTm9vSDDajk+I6I74zDdT0grdRoyzc27VWQz740RqYJ0uCo9H+oVN0RzGyK9b9WvyRm3TGH9
DO0Hx/ge88umtb9o1zsnRMnDXTyJDMAHWYAiHljGZH5il0d0rz6AR349fBsPVXs9PpWNTQAdvj1D
HftOE/M9rtNkECFJg4Xge+TcS8yXyBPgrGEM5QoxTe9cEdiRDu7OTHJISM8pZYDR3M3VSmSIPhDB
7Szrez2V39oWedRAYcWyI/TuW/Qk3vxAAOvRpbbIXZpNNlvkvfZ3pmdXz3GHntrJjdtc8845fXpv
VMn4JJepXFOXMJt0gfcQ5Fb5I1Q1E9mq4peWDxUURDgKn+gHo0dJdvOHp2LwZwr9Opcnsm4RRCdn
tJ4d0ctXDXvvRA5B/5VCn6Qq5YUHwJRYCqjCwzcmcuxQgLJuSOhknyFTAegwsPv82U3nfi9066Ce
XAwFzG2aEWxWevqwmzk7EkRO+zrVQ7gSDuKr6tW93bT6sVkG56mTef1Xs95/dW/5/98lySn5hxPt
H6Lr/lfxM+KGfGg+fn620d9djL//5V8vRReygLY9lJ+2JGfxd7P5t0tR8yfmevZxU4IssLmy/rUN
9f5FcEA7XKUOa4r/cycKyMhwj0mgo2+0pOn9M1eiWO+hvzt/+RaCm4rbV+Oy+7OLFRCBMYg+6fZN
H47tc9S77sviGOR22FwV9xYrB7JbRVnvmZmWe8vsEhR+of2fOO84VFbz4B9fCS8D8Tz1AX255kb4
041p2oMmFtiTu1K07Vvqzv0W4lNwGsJcIg2Igf0TO89CbkMsyeRXZFW4+BIwhU32kf8r3hsIZQ5l
GuXfQEmam4JIhZpiNI63OSniD2Y3B6dFct/PRNPcRfhmEJHBDtxZECkfo7ZBeQpg+YRnuvENRAHE
CoSUC0ZD1AZt7rwrKK39yOzHd+YKjoSww6aagxSpI9YH8I4StRB9G7P3sWcl3wR8ZIkykH6fWHd5
rIyjqxPU2Qtrsw/TNrObrRCb0FFmPbtBs75MuvNjNnzfleqWnwLTGPx40zuUs2KCmo4tfSuJWcBS
U7qwcCy/d47bnoiwaO4jq6NnLoXc6jVBB69H9xBqBdGokDPnqDpnyCHJi6OR63VIjAr67U0Cwoc9
h9Dvog/YDWhTvkYjEqueRJQTY/1gszCARVUZGnv+iomuEEZZOUbNsWXScA0NNZ4GmBpImrJ9MYdk
d1h1f5k7A7MYFoddxYh65/S1BPXDEGxPJJ29Czpr3oXM219sSAeEN6xogxAtbVaM9jsSwWDHJdjs
VGMCuWnVwo9WPywrRjPXxngLc2w7/TgZX8axHvaJ3QRHBNvEHpYS+FsJM0ktzfCzzhMkznlaPAJU
Au0eaKO/jVXenONQkaik5b6d2FxGRIIVxsWtuQDDCb7iYDr3aMrpQc0U+d9iEseXFxIXJhZphwyD
Q6pm8KethtIWcS6TdrwlABuMRJLvWmbHhHfrDUIc1p59W2xHAnSOCs3ztuqa+q5K0+4dWXTHOBBB
yRKGxHYXhvHdWWoyioZivsttXE/eyPMU81jtrb5Nd5VqidBmmfMzbDD+jbCavizSkOtAdJhvoTXS
j0WleDQnJR76fJjuzQrWYl0N03Zc4BYhTr6PV+FjlPfLocJR/Jhltj5kmbU8kkqT7OrFiAEyrGkb
eokf2COxl0fUsQN2hGUb3RXmBWn5dlTjJ6DY8QeyFo7lWFVvWUGqixezlCS2JdoVXv5LjVG4E6OX
vwTWiv+dG4edD18dzK0+DpO3MLqYrFNpd+6hICEH0NyM97skA9fPDc+D42C6CAyDatsQVXdsOsPd
pSGEroNjo1DDK9nY+17ZA8EwWvNZY9a1NaifuD3zOT8mzLHPc8TWrVeTvo9bQz0NyOfMor2bqgX0
3FCuhloLbzYc4K01aHEL3eje45DZMcS7N/uc5dxIIWEWqPyEin+w74t+5SEwypW7DYFsCcjiHc37
xVH1e8ipf1Sg687NMFTEIllsaYrBpuB3yFzmZft1bwdPYWGpD1m51JQJrItu7PsfDSF8T5zMLvuA
svkma2ZNgmQ/3yOjjboQ7xRZk1ao05Nr2f7Ew8/Y3en7+WAviJC3UZjk86atCPwNIqKAbYT0Fd4s
cyy2WBiTWw/1nABII9lj01F+BK6WgL4gjBiiNA7h0LWpEEP3g+oQqYya4XrwpgBk3Ft5TI6dtMFP
YyLJeJ+9GNv011y4/aMhS5IZAcI2by0iaj9FIwC0tCGlzNbYYVU07znT5kMLWYBsyjz6WoliYPQR
suzIo5UoNSlSYpZqLNhGo/1R1zVH6exYVmDtVOV9zmwKQgAQRb0bSXk8u1lrv1uxt1pMy5y4mk6h
vXEdfSjYYywbDxXpr7hM52oXAPL75bQu8wa2He855iD4WeV9ERlf6mls8VEQnkimLKqPIs4XpICg
ElHWEDNDiW19zZwUgp+OwvLdypvs5CUz38AcnVMwUrvOeY6tRwZjtjXQT2Dcr4PsAZA+bu88GK3p
pJN58K5VHoj0EyVf2z+JJLeeWUopMuYqo/po+Sh8BIEs3krCJsF1kOmyCUou6J1AM8qndxlfq8Rq
DC6pwHoLh+E9RV55mV3EqFjf5sbXhK6yl4WP7JuxGsnPWJ//sGrUE7OUHLRAQX7bFM/6l5il/cRV
2Lqn0Umy5LFr2/LUYUB67puakgAiu94qVPz2HZKa+leYt1ikIyrfLwUGpx8zZIoTKin7AFFFXyAC
uJ9ejrkf7qWZQOUXWOQSa0Lzjyb8WUa2vhUrIChNM+cwCFRQVmvU+gl0EH0xrsMni9P6mY65PjJQ
orloQ4mILI1cjVLSncjcCdQRbUUI8ozaZYQJvkFH4Ly1qInc+xaHYnIe0ifDG9xLIhMcN6CysZqV
AdmZHtvxL6XXxF9HO+lRxlQxsoI8Czu1i8ve/qaxdBT3MPESWLNxsYYAZC5Jp2L1GbDnFY8C9yTH
rYHmYrTH96ypxKsyRvWMpyY/e6K191JN5X0Ajea1oF/Bw9zS1emBL0GtNSa0pg3CtQntDljJ7iIc
i4AozzUe7VmWB4Eh0C9IjPwEdC33LrjR2ZfEALw2k8B/mhIHBtm7IBV4TnOmvmCkkIAt0UBzFub4
1xMx0oqG4SkgsI8eC19XicTpS4hz5eYoOhp2Ugg8ckv5WDokPSn3Z87WzMC9eWIVv9z33ar/hCvI
YNekdR1C9zBNCdSqgviVtvUhJ3XTBbOzwZgAJBrxke20jGfyf6Mz5QyTQylIc6Bs0C9W20eT75IK
Nx5Y64qHtAaAO4Lg2aQLq1Y/aVTzxL/a28kcH5p+RWLkdrGlX3IuY7gGEZQgjbZF27TvVUB+VJDY
M1IA2e2DtAm5jpS3L2q0FKVwskNQLuH9gDRz31k8oxYY2as2VhhQyFCaVXBlfUbmaWqKd232H4EN
dl+lZ+m8N8OogJQPkAcsIhu+U1+StyzsCucZXkRCLef6gbEtRNQ0yAjDhKN0R1y8Xg6z2RNC16be
wTXgTYbp6qZhNnpkzaMP+DbdLbk+Q31XMlKkZ+8FGCEUnlNgivkBIbbEtVMu9k17+fAQ2ZEBsktl
yQVccfoy9GBvZWaaBwS62Slp7QQteqTaHSKX+XNA7kMucYl3xu28NbTNTuKtl7SOwrGvGPCg3ILW
X+YupKgJCiupwDbo6g2SDRRsbjvFmG2rsUXlkoekehEGuJQN0yj0r9fC6c27BL2RpL5N36YyUvKM
xs6AWMv65eghjSEWwk0IpJAuOi+xJsObMfjtQRhHvJvie9+G6sEaVxJf087mM6cNAVhL1PfVNprY
tjQd5NkhILEq9DDEu+xs0oz5TF4dwqBgEWwzP5d9ZnwsY9C1h0F3xtlNko9aGd49plTyD1iaZ599
4YT3Kacit38H8qGZLLqHfg5mxiNmcXNw6mIoGcw39GveAxcchhpztC4e2jIk7rLfQ1ThmZjK4Jed
kQ+ZCuXcT+TYU0A7/WqkdgSnaGW8GRqn25rViwvcqwrzgPwIEQ06vyeIFAxjiJFRdw0ZEH7sLfTx
CWEIM6f4AWwsVI3OpiwDC+4ThvjZWBUDhZDkCAdrCzdnGFB0LoL9yYg/iKIgHtVF8Q7tkjl1dgOi
SsANjrXTXDQYhutkl8eBc1t3O2+ib+5YW3V7yMPtAc5Xy56J5ua6ukwuOm2cNSIg648lPcbWQzxL
YIg9P1oT2kaCFwAOZK9a5uzS3PtucFmdiCj16yk195hgx5MRu9xM2IRL5/d6p1vus7rOfwxz09+X
VF8bSIrhNVrS6IgWYDw74nuK1LDrOgtSQeqbIWh6ZVgRvRRq5Dma873gQgpJaVgJA3EYEr1Dmiia
cBZApym2z9Gsr0AvL+kS61vokJWBhbLZsBQb0eZVNnRQMRiUjPlPd4TcvWmH8QWVKkV0EZY+pFZS
ges03uK5TR/DmYo2aFBJu11vPVoid8+DWQ07lkMehKzfSV9xculnB5qIKhtBCQoNhceQWRgGqR0k
1gyX7nQMMq0PiG7PGGTwBo6rqvNgEsCQD7M/svHdUnXEZwCaid/IZLo00ja35HgiMVjKsj8JJxf7
BHk5/k38J36eNtZ2WaajRfpDzU4EHfDg+rZk4QMjITsFC/O8gAyFNxHA68BePxu7so2MSxTW3rtp
V9aB8F7xBbskpO06zM7VtPRbYYjwlmFN2dmjR4zJkMhvrnLVF+Qk1RMVcHJC343XrwhWl2RlPLGF
tJ/WbGDOShuGHOrZ6Nrg4b9Feb2Aya3GHyA8aKFFRcaG1ZU/FYwNjOXddaqTC5gbezubwXdz4u5T
s79gcQBPYLzUSW9c5DzoTQVT/mgAUz1Nsvduox69Z5fF+LYI6wQ3JgXs4BRq1yrhoi6vrmZUANMA
7KKxVkbs+reOmT8lw5RSJxTNh9AFUH5DBb5Fi39qlTxO6WKcTXjmu0KM3d0qqjqTP/hkEzthuyDf
pNXclfJLbU63nozzBa2R7PTXNBrvC1waxzSanl0I1HiDmew3xyAljrpoiaIPxKouypsvTei95zkW
xSH+aBhs+FlDNExI4sdTMvX5EaEsB/uoiquVjpLnGCuq56YX145yeILWcsFAa+wc282OeeoerJn0
mDSJMrDGRXwauyw8qKF/NlURs04s0OJlNHjLYNSkKVKGn0z8BMclytMfSiblNcVAufgxMXXbpOeM
lKZxRAirtnaXmYfQywP8CE7A7sEGx4EnDi0Wnf6mqBPnGodoWt3J2QKZGE5NlpJV7JxEH10EmdGL
yutdBcD+FS9ydzUtR70C1l8DEGDTsGIkB+kAVDnXmzSY3d53k541CO7iN2P0sq2raFEWDRQnX7zq
QpjQ8Fw5wFltc5PMNn9/IDJaJucurz+LyW5ueTobOSNfPJ4c8Gezwv+Er2HPiKk6JS6S/hpR11am
zXxbJOn22pHmD8XPhzqxJ2TQKSbrvTdc0h8T132Y+sLeszgXUARZAoQZIsV6Mvfol/yeSHDOvPJd
QdB9GgIkeRs5efMjOxxHYqDSzb5jzXEYY+a842jyq0dGj1+QHeyIZwhnFaJj/AlkgVR6RLWOyY/Q
yVuIHXRaxKeliE5pF+fsec+TmW7jSD3McXbKu/g7A+TPmbWx2phVSSEuawxktg5ZJwnMHFybhj/a
GcJ2aZi70shH4rsGaOLEjx25uY6psI/s3ZFXDtsRURK6/vyI6YoPlJPvuG0/2c7eGYXtHVpnOdqG
uNhIYTfUWvt6GL6SXEj2/KRUeqq5Dp4bYc6skKOvvZKL35TGm4o9+x7BSvdh2ArsHn66IqVscWgg
TqqmG6NEMZ4nT91KhW0/wSDmlJW+kufOWsCW7xzg8LnN2n5TeDOQmel5i7X3LWedt020C6C+ifbU
0H5Tpf5cdp+92UrSVickYw7WWZzdiM9y/St1UAxH8SlnWR+N+UutEX6l7JxjxuWbmgt8nwcVeH51
IAT03ajAOrqzke7iMTBJHQca8kyT3e4ziyTtgHBNT3QPY5NR6kHof4ha9ZqU3uw7E7JvkZnUi4KJ
EUqjfqPaeE+wTIy8UGaM8oR1NyHX3rrI1UCaJMHWBsgqW3Onm7IkF1kMZyu9sgG7kEQU83Esnvsk
X/2a58Brsdiys9CLNzXbtu9xgpcifwnrcnrHGHhOlhY6CA0HMPnpCOBxOnQVXPZdNs3lKe6wEBlY
SE6GiOQxxXX5UC9D+C1MBelOjvqg5X9RTeaPD0TW96L+6TDnehlj2j+cWcEpYjK0K6bhamAA3hSa
DAh0s+7RkllCb9KztWTc0vdl9aaIijmmCWJKwF6u2omKFWvRDc22JvrqKh0mZrQNAavQRT8v0Rij
NlmmW7lYxNgnUtcnrZN+24Bl2BbedDVWy783JhNvlBkeKkmehSOd2UO5ouLXgZTGO56znezn66wh
JyXEAKFLNpl6nZYEQxX/tn1vW8s4weiKd6UyZyK4FucH1m74lh6mjCB5xgQbHRxc8gdCutI3A/D6
trabh14VvK4Yygo4lGCLyRVbEfc8dfJgMHwFeiKz6kmbBOmAst7Ni0NQgUl0zWmp0MHU4/iVXDw0
4ZziJw3p4ZaZEobJmgwNSDvFbMD4hmp5nJR7dcIKxTRzoYqE+4S/FyiGUFERMaGq7Z8Oo65Ni/fh
odDJ9AicrRZsrZmHA+sbmaROe+AC4RfMFum1dcviXCg9Vbs2TlhfGQTEQeieJyTfQD6+NclI0k2q
7H1JpUlBlfbbHMcuUYQmEpzGQajJuTBnAteWM4TXQc+Xwk6Mt4B85U1S0XrsWkOIF7JuwQNJNwVh
l5U5CcstJZkTVOKIqt+8IPAseDqLHGX/NGvnDr1dfAnCtj7yT9TOlHF3pZeXbwQH2ycEyvUvqN+U
joHVXseGhqkwlPkIvya8N3SpDnXUJAewBxRAQteCJEAg5duhyu0rmuNtQ/GnhCebTcKU4uo1tnzu
cxmes1nKFw5+El60ig4D3o9iYzbAgCTk1no/mTkZUNBM0C5HBCyhDsRSyVaXMVvdMwkrZxl9uJrz
YhPjbHiVwr31pF0xzByLh6QuQbVN1meApvE7OoYy2qJoCH4GWZy/UIZ8TYie29Rp8yj79kV6mNaG
deDVL+OxW+Zqn1I7X6bJ5HElodF3dTEcYacXH5UdO0e3IheRFEBzN5SkWISMB7E8pcuD2Q9gp8ys
I5yYpPv9kkoCkU2LAZ3uaSmwK5UkgN+5WJP9qp4cIo6612GOyAySzZdYQLBvWE4fUmnru6UL46fZ
aOtvVugaUFcCZzwouydgprcU6XA2jU0YvESR551w5FHu9EjB3P6CwDzhwJuS8yydXzHl/xpSxx6a
ERQnwYT+b+hd74WQOC4T8lcmsBZQfPUSPPTO8qBD7T1GDtJxMaB9KDv5o4DPvmmIjr9NObVxg3EL
X9hsfAywZ3dB6X3zOuEegUyB27Jdy5/RvHN44OJkRUTI9jRIceTWpTWW55iq6TXJBEQ6weOHAQn7
MKkERxo76AZN9tjFGtQ+i6m9U3dXQaHeukCS1MJUcjdgCTkBFDTuhnnyGGJYL1Gl+XZpznqlIbMh
MvSw7WXCCL/hh88qvxPqnhBA8ypAV2JltZOzcNHOizT1mAzp9NIV05OQDR/OpsDtja3qLAPveZ46
6xIVxbPJh2hj2uMeZJ63m7rspcySu7lbxSKaBMFJYm3fLKkgk9juF/MIgKjbSyoczkJGoxC6sL2Q
cAkt5OJhIVu5fY3FwwwZnA8QB7Lwmup1Jt7mZ0mO/dYoIw8pZQPtzrPbU8ljuCVhCrX4vKQV5uUi
uXVRGzw0y7Kc5067N4hYGQq+5NUO9aMGTLfvLe8DO/Qlm8Kry7T7YNktpeCsHj3qoksc9X5Tw1PJ
m7e5T97toWTQ2lYRwgtnY6SPkO6i7cKC5bmxFcAKo8yelFk2lxoJGZEAOnqzZaJhhiAkGKcWpmND
XMsiHGQblbVz3Mo45J2HYf1xYtd0W8lR54TP2kc+BbixM6ei7O4aZi+9zScAzcmVlT17sZpYrJ0L
GQIXjbudRHMSYCmgB9hEC7gzK8E+plqACT1zneQZPkgTuS0jR42tss493kY3l2/4OK21AKrskztl
xXfBrIHPTy/LK180OeOJecWre2BAKPcl59sN1nni+MYwGT8IbCByG3z7YzwuwymEPLCyjzrz3Y4b
NHpAja4Lj/IbaoTBn5ixR9uUjMt7zoUW+w1ky2+aQNofkdPR1zE08AaWQikR4Jd2FY8yvbX6N7tr
obkYyPo2c8qbwI4JaiI+kGTeLF1MmZlVynshxaM9EdC1cFw15vB1NB37tY9EVBwyhzlVgW+mYJJp
WSXVoMzuQ9s1CoheE36AJcRvxq8ktir0Q0782pNUe2IdRRlX9DLe01FbmHtyOKDk16N+dCS+LQ/A
xXviFD8irA+4ybsftOUGnsK4TLZmLX9kFHws3BYGVhsjYSTS9qZ7GSQ+HvZ//GfbV0V7m4l9o6Q0
7fciSfks8cdmezOUbr8rMtkdv5VBua/6wf6ZUJDvl8HSJzcI9Y0t63SHWxrXwMBOuEEota/izH7s
tcWJFhHhZ+5qh3eP5Bx1NIygYf8UgapzWfsw6So2lIrDJ7+dfl90Ezw+LEtHCENPeloTprNAFH6C
78tP1gDqbo2iZrIW7aHMwvaALeK78GQ66Cka1OL8O8va0VO0dWC/fi/LuiPVMsO60K4B2HKNwpZr
KLYzZeo++52UDbgGfSVGJqgPCJIHkGFEABDi1RCyzUbxUK+x2/iTPgpMiBj/ieTmwa93i+H1J5CD
8h4HxYfXMtFDmyOzTT8OX62q6/3WCmvc0csDvjEcSlVOBJa59ABJ5ezrLkdBNb9X8TZtMX0qick2
dkgn7GvxGkIEhQDVHLwY/10xQLOZwrLZ9QnWt2kSzibICPcsCCEl/500J9skqhuX7FNfmZz1vf42
BR0KtqRwa/h6Q3NLXIZf0/9m78x2I0fSLP0qg7luJrgYtwbmxvdN+64bQqGQSBr3nbSnn4/KrCqF
MjtiEqibHjRQqAIqQkGX051mdv5zvoMEdi2IS6akU2yBlxVLfRTJ4GrIh3gD12J8wif2lipEh8QP
xEVe19l9HrN20K+mEzby46tu8K1tbzuQcmq/imiQYmFQS6kC/xgjS3LqSCT4vk5vr4mzZxmUsjjE
Z2TqxCN9oJccS4WxIqTHOY3G5UBZ4804JcYutrt+K0afA1oxT9Xi/SQKRqdW767nldrl4LF2gVct
SwwB4EgqnchLOXOqGur52h4KAayklYyHfl3Y5S0nM3YpuNm3HtS4MznIfpNN8Gno/Xxm/hYc2YiQ
E2c3ucwqDjRTnDlHmzzlkgYUWqWY/Z0B3rIfXGpaslAfNjK2pl3Tti4lWmV9LJURbzDg69fRYPZb
hgzInG050AnFrqXatvkQ3ET96JwjV/KrSIaCbpVDG+DzeMm7KtgfiKkEkEd2h+laPpKSAUi4jEpo
Vbka3feJLtB0y/SFMyBTt5E+AB8amlB8etBSb0MlugurKy+1Oe2KmndWja2zF6krferw7AIiQYgY
V+m24i/UPeiE0kgoLiveQdvDfhkcRipuYXXfU6wDBLjTYEfRIdcrmtLcGmwUjkKn7Smb2pekx8az
9nv6MRehncf33N/nyazkdkREYOlirr4IM4Nj2xisHNk86oLao4g+wXgxGPSPLQQyHeIO8zt9JQTh
LTrqOmc9JPQkglzrj5MC7etVeffUTtZ0KSfWR8LGxOEiDga1VRzd3IYoUzog3RbMzNn/UxocX7eV
VyEXy8Yiv8wTui10CkjhEgx8fjN7usOUl3xXWhbfNn7tfmcC55/szjjEnbSoNqgD2oo88vk5z0KD
7DoVPI8aA9mLwqioo8pzg0+Foa10YK7Pgy/hu41Bn5iEDh2kYPYMr2ignDzMyroIsexSyDqCA/Ry
kLqWNe7hJvtgrkehH8Ms5qstWwZMmk25Uqs9UWJdP/sAfByQJj0Yt9pltemlLV8DxEqOCWJwttZg
SIpdbZg0RVc9IAw9xZH6Nox+yjLu1HeWGaX7uLIVxZ8EDB4Nzp8P7QSljqeQPu2Gmn06Zw1wRFKf
ScqcWVahHwN0SMb8ypsyBQLHcy5aINJrs0wHOsKSmaZgeS2e4LAQm7wESEN0VAaQvYZWW04pANz5
gJMgS2yUW18x8QKhFxezuTFsxh04InrnCMFutWo0rwqh9ydXY/LazqZWTB4avXZUyLNpHy9TOxQ7
s23Dx6jNrbsqodMd2zAlqFaqY+bQBDDIbtbHtaQ2zoEqoDvpdeYx8Gqb5VAnqyK2MROBhO/XcT4h
tPcx8CljCFetZpgnvUupxc5NTD65csxyVVBHv4KyD17Dbd6lEbcAuQIiq43EzlAnqVqblnHrou0v
Y93wtw5PUwoOpuykpeal3edq00B1XpjwUc6nugL1EY/jNyqXK1AR3jDXmAYDGRMbHiI1c9k1Q1r/
hsKG8ZIBtvPN9KL8qE0QL0Wu9wdZuxPRxTDtllYReTdiNshOVvtIhtWCQ9HV6syKx2SDk6bespTi
d4mn7qIzs2vDdpLTyJ5rJ2mPXInBu6cuLAJoTbB0WRHcu6vw61wO/YjXVO+EvKdIixmB5inMTXFf
LktLndV8IJZ5QsaUzKG7b6JkC7cZUkgWI0cGnneQtn1e0gm36qzM29F+lu/RMgBwwYbhGzEOBwpa
1JWSNfpm7brZMvAmKsryGteHZVkPmmNdwya988dyuIxqwHtuwCkuqYGsZwM19NkoryLmhDFuqB39
KXx/fH+i46VEeU3H/DwpiCrndbK32M5eUXSCbsAh6gRrgJwkhyfrrHT9Yofu9+o15a3Qp2MIGJ2d
mH3Iq4yhje6F3U4Go/4Y1ZW7aQjfbG0hsjujc3lwtcyk97nMD0bhdEc0ATwhwh5XsWFW9ykIijOv
gQ/GMbkCgcygmuik08yPdMJLlQO2L6xCOdcuY+uYQQLkPsrNACQMEEw3mTi5wznjLvT0isd0j/FZ
JOOalaPYMJPUj53Zv5W1gdbThPYuiAekPchd5TnPLXuJ/2s64CcQTKfD8bZvw/Hcy4NhN2f4r7FY
pmsFReUi9I38umJzcT0Aa4cEk5VPU9rj3I26sT9SANwsI9/w3h2iAPd9Q2o/onAhQ5EOqoRvvqou
GC/5DzmgpBV+eVSDiHaDBAQAXn6ot3KgoQ3fOsmm2InPrbxBKFdkeJb+YLWXaAPRazowTwYEm0PY
Q4jE7mA4x8lpxKORDCPPM9WgGo42tamTXy+nZEzxbcXME2zhv1aBLw5sVMJXRMK5M3KWoqxKXsUc
wuGs1p198NrHWQp60ANcWQu/0NsnFTjmPepG/IQ/TV2gbVjr0AdGompfvkWaMK6n0WFyEBTpbSCD
aM1YgOM96FBKI0r3Zs4PbqOuspeQcqNrGtJVuCxFlx7aSCbvhWH1NznLK4OZKbggx25DNSrJmWet
FGtNBsGhAxG1qRrWGg7PuX6ZptPwhMzinDGyStcexDE6OAfRXDAxEDdZxwFcK6bkJim0b7KpvY1T
s352aXCIwrFhnGPXF2E1Gi923iMrJnxn4FRQgwqmh+RUWZMGqBQkmURqC+SZ/hpQBhtAc8D9n+YA
ilWNkEGR0gCJxTTeTUlGAIdOmS9KjdZUGkq76NJhc7BhGAc/Fo7AdqirjI8tR32OzqgFTKPM66Fo
gmvpUycbYgS4zYP4htWVPY/NWZrl19rVGUVB9hAlR3pRxzuHSOduaksGT1raMrNmWwuMpUsefFlO
iNGkyh97ASVy4adyQHZA31b4anhExVqycYmhHhvTUS85VehbDxztsmkza+lz5Fz6knZ1pjvTDWpY
u7Nt2DaDmrX3Uu+ad8w109IrQvtGAYbb93SoQm+HvcGhC299MjhoGkxi+KoCWBcZJLm+IffFXFUz
FtjyYj6WTLAhMvRxe5Upo8UZR4Ky8wNvg5uMPWcYE9ZmdHPT9GPJibmxd7qgV2jZeMZgc6icvHel
kdWcYKbfJRHvgSOo+I1Tp9gX/RCc17KrL4i4JYdoRgCGCqPgghy8x1tuvPHA0c76YGratZPSnryg
CZVn0H/gFZNSmum0gYhqA+Tyije7KgIglUH6lLYT6T8apeI7QqUwIHBfXfZ5IJ8Tv+nPbYuhCzot
Ztikh3cfCZn/Hmv5d9vl/xtFsQ2HhpyfOeGPb/VL+vKDA/73H/kjF+b+BjwLe7ehe55H3PlfSew5
U00bge4Y9hzEnp3u/7DAm7+5ukfQmmEEbj0QJv8Mhnm/IdqzAfENItw+JXfO33HBm85XGzwnO4fs
mU5ACfO55fC7fs5GE23VhiQxkrUV8FnD7EMWBiNjvKSEvTvlkqc7vDbz6ECl3sFXbfd0fif4IzO/
PIO80T6IQejYorxIPjplPdhLaouKPYd8hwmVl1AIU7HN4wHfexd6hG627zHpxZgwquJVKLtDmXH9
+tDpDvy5rog7fG98M5glqYh4acuQCKRwzPCMUKjuwEVIw+95adsZ4BrPsRiiyhp6Y8rEfTGxwcyP
aADunQ7Qh2YVIxpPttKDo2qqujt4ke48VGowHwLX9G4xCwwXhWoB7fSqgcOW6+EB+yn7tDiJGpiM
aeezZCXqvMkHznCwnDDPwPkR/YFDBTVEIL9q7eBMkXmjMxyyN6iccYoKoJAe8E9D6xxs3aXSgeF5
cBG5TacgLKsOxDKmP4jl1ZAOF06fuc3JdARbXJNiuhSnfyLcRSSNEX68G9ZQ8yHicbIbi5PZaXGz
1uOpPhWT1G1aWxpLLB3yb7gTELJuIABlFhqKGUebth3TdpnH7Qyb8TVqwqjXSV4TrVDlfjK6FLta
k3ABJjPeox438iLRAn/HnRG3Ohzy3RQE03lQTD6tAz0wk9iX9bhuGvw3pmUhuFNyMgZbJ6yTQ1mP
ILoEGOZ7vUzcq6TSnVd9xIK+7hwYboj/I2+NB7UZ1prEQ9LZDZ6DLu4ePDYC/WZIBZUOnp7pHQM7
tzrKrMtvBF6LdiG9ilxt2RrasBcjasgSv9aIm4UrMNHX+2zddZZ1jbm02NlhFV81GX6MRW9I59XQ
IxYZ4PBAQBOYn+cSEuPRDwHehJ3hvIk84kAaKBtPHeinkbcgUP4eyLXE24//KVh17sDcOjecZ3A4
QPAyR+ekMiifqJWTiVJsBt3E/TUxxKBGtUN4WyGdgWvq+s59qvIQRB+OtObQeIpJvSipYVhUXklr
tF7W3btjKBp3+CfygLMIQuSSxNTQM22aPc3kbOQG60Nwhb89XJjlhIMgGfnFIEX5tUG2b5obes22
PlVI7d/nHIK+9zINLhshqxpToSxwegAdYiTONzq7Qf2hh8LtPNR8RglY6uc8vrwvOctQRjXie68H
lz2wg0dBNysUL9cBLugOcqfjpLvPzQEyfz6ptRsLdQr9Jj1OUW9uOAwG1TJOBrToidEtBlJOjff1
gN+qJ5VnwB3DRG61pTwI9J+bMJLrNm2mHusge9J9xhaK6ZEkj9jNNqeWzdXABaxIMKTR4vIb/jh1
MnsDKhhafNYd8B8n0z1Z3EpbVtPUU/pgsf9LNn0Hca/GmSF9BkQyIbmNJ/J66HLnW5KS1FjpIZXS
+2FKc3URJ6lBZS9fmW5DeI56+8EjHUHWxW8tb+/4qlNIEd2kzjRNk/dotTDTKqtF9uxGMQ1yYUdm
5+60duIxT7A7YiEPE7fYIG9WL8VYHnP0xXWM74G5dQXqH7pRaXdi6do2v+3iP2zC8XpXdgiO2Vhe
NmbfbpkwJ/+TcnvL27idbqfy7f/875fvWZyvYlio8Wv7eaW2WD5Zdf/rHPjtSxanZMC/d3/xY39k
3Mhw24RIPdO3Pf9Lxs00dDgsjqUDT/lhgbd+o03O1+Gp0IkLmISKU9bTmcLi/cYUgb5DR/Bgo5RX
/1sL/Iw2+SFbBqCbzYeFk85njTfJnn9e3uvK8jpndOp1HJaXRpDB9tSqZ5zPIdjRdqG1yUHgW94R
r4l+wUJxyKj/eHH40ST7fFMgWRj8RnNU/FN346gZdFi5lFcbqaZ2QeuES21+Xtcjs4u244GiUmme
YoZeWwTu+NQWhv5K/iVc++XIoDZqRYMEhQXwvLeJLoyKk2Neq/FjOnqAnoI4Xzc+SknjrboajhWl
ZSqccIqVq6Au3SumCXZyVmZzuNlxbsEf+0s3NPkHXVWUCzUOxoWglmB+RjfYkjIUgRiXFIEctYHn
UMLtShvr3BVKuzX0Cjm6zCx1VU+heTK9Rrt1cXLgqixoXLFgi7quJc7CRM+3Mc71OxlXgmlJkC6I
62EtSp1ua066fWQQjgwRx7OpEaV0OdaaBi8FD2+yE/iMTy4mtgZfSNxhNIUKbx0rHle0mrtWsA1j
HmG1FjjJsgAs9ewFQlrLxCzNa7ajcDuoYJihuBrvGgLCbuplc2rDWgN0TMfUFZ2t/VsWTPpTLhpI
ITrE/Wmpq5wfZVkcHvHPRzAxvSG7ya3moas0G7IJ/BQfy76HzO1jGNlRLoWjpMYkKivt2el0n8e0
IDWRssIv0q4hZJAkkiZzR1ojMZVsZLZUVoqblSRHoOLZNmWTtzXZDHRLWXnFKTcxMkXpmBEYi4bb
0CokLYQoe3HdIcI1Huf6jtvdGIn+kuYOlqK8hNbhc2LbJhihqfEdTj4A601SIkRZWrItTJfpBAdU
qCpa4+2MtpFrn2+OvRrbzjhN8RCVSwDa7hKPSMC4V0u5/XWmNn5XEs1nPr/I0Tg3vTDVCkhb8wCF
x3uAGauflcBJ6jG0j55RWYtm/pxjJwCXp/vizJpq/7Z3injOnLWroSmataUD8LXZQdsLYn8IMZPX
3LomBUML266TGy9smGkxirGNYsmIumHKWVRAEZsmHp6l11nGpnQ8pKW003M6o5oeR2fE0TPZCKUQ
46zBZBuVxbFCLHKtb7kI2uvZMEn5j2zhfDGGvRmswH1ToVnfuEPj37VtQ1/FFHXas4zN8RTTVXNr
JY5O42ExVu65iBIf4+jYM2QMejsYNgYa2Jbzi6SpQMesvBiTKiRDk4TDt3IaodxjrTVPsjZq49nz
mmmrXHuC2WgQWfeVI781GBAuBxbjVQVx7baJTRuhsdo3eWwTcx3eVQt2M6tHNjlIiu9h4ZbfafiV
uym047OK6e+eaBP9MkGpGEBVVn9O6oRtih1TsUEWtUWOMP1XGVjBXisctZq7JJd5MwzRMmwyewfQ
RlbIfU1zBvkzojAlrx/AZVTrtBuMc51Iwkug+nzTDUX8boKRWzNWy68J6Hg3NLUaLxR1O5dGp7pt
MEcep9Fr7kDBFdu0b/RTO4bZYyTt6h7PqXWHUVPso2bwybVPLca4pE/omOuSAQGwSZlW5yn5KfB4
Rv0KXBTZPbLqEElWpp64M4u4GNY2P/lYq2Ab0OzxHgSW4+4EWwW1ZgxTqJ05aArkO1DfdYHO6E2R
xcbFVnMAqmN7TpaPjejCxpu0aAzNr5lWYNflkzZiYQyiiQcSpELaNmKexlOJdruMMGpT+lnSu7Ji
y882261c/9SWdKEoev3g/AkYjnM1gbcPKs94tjXbv0TJ7veV7gYPjcWBaSW1fiA2wWBSWwcBjXjH
PtaCF4yPKfPP1h+O9IsN953MW7JlZk0wgjZMdWVUMm2WYKP7dRDG40sux/K8raPGPESZB3dJm55A
euWknKmE3MKB1G7yzirfwOCCI1BFtB5cs6eNjAihx0FxaquVM2X5Ix9+Fa4zxX56OUwJU9AkaEka
45CYGK4NvTMsKR3iXNa1UMo5XpXG01j21qpvo8TYZJGei4XTVe2Tlg8NNoykFA8cBfTHKgb0p6PT
vcYdhDNLKH/lt6re6GnYXFCA5X8n3wueuBp9ieGo5ahrYA1Sy1QFxXYKx95e8tfiY4XaV8A6dK1b
DG1Qy3G1YvAsBBDgSda8gCxRCQSwiHAI0zjZlmw2ZQZFrElotFEdkXokX9y1RMVBpgM3AbmAW8pS
I9QTeGPbzCnYoprzuuNZdnHP0hOEK47RLnLZ2Jd3SdwqJlc4XbhlaH+SmZFA8TsxcWXBIyTOXLKC
VNkXPanKNLK0dknzVE67U9MtbcHXoeRsvjSSyb7Emk9ROYk560L2PU3kArUhJIh+yqZ64GmqoiO5
u2GLT4+tv0uCPMcfRnZ74ZdWdK0Z5BVx9s7ndtEP+vxFx8ik2hr9mwLr73KiXGbZTbHP7BUN7L2e
dO9CqcQqljpT8Q0oaXZCftFGj5mgitLTi/ZKI0xvtc54GQ2Gf62SIbw3WpsKnvnQGNTEYUl/YgoH
QGkvI6SLUxOF0UVDAIyTu6OJu7SoekIgMDDJqtNCAisWQRWz7Mwq0S19YQmc3J6KThP1K2ndsyB3
VbMVeoHN0DWj236UwzmUOn44EsCNzUIzLtM4tc4FinqPOKvF12OLHDyJVodHNa0VLvN58nrdafjC
ONkbS/ZkVBsydWED+8oZ1l4NTk0wKGRiOkFyFbLkevwgke8gcw9tMRRblTgmJ84y2oiZRUsLWe5d
DlGBjOE0hpWtElOAaiucsjgy5kYu8JlcLgo+VOyD2Ai9Z32kzqemHNO9F2vq2sGyRJOoFQuUkJ4X
tDejjDEx9UD0PTRd/cYhygNJ7sXta+dF9bTJWlIdi74uy53bm/opIZpMT7CXxsQYM3eyebTaOcUj
BuHSfR47uG6xBLBbSz6UAjFVxwa7WAc7bZYS3A9ZoZwVhnbWGoZKT9fuhwAxb1WcRfshTKDhiXgt
Z70Cn457JepguAf6yTigYsJ4CD0LB3WLkByv61n7qMiEjgS8Z0kErJd/WTWlOk/0ut9hbBO3clZR
dNOUnBRRVqirRGQZPwQXSuLGch+M8Yz4ox6Omzef9Wgjw5+zgM5Qv/kf4k3/IeRYs6YDR2qWd5oR
QTz/kH1gU9SnTvOjZj3BCDtFs0LUfohF4YdwxH1BROLwiaCE2MlDLEY6bk71h+hECBIBqg41xKg0
63u1FqHGjCNETAH78yFelR9ClvwQtZiNt/bGnrWu/kP26gI31NeyN83+AHS/9zbGrJV5NGceut5N
PbY9+sgOmO6+hTEJ1KGAqSW7NcS3cpbh3FmQ40st+4NBB/oxmwU79aHd9bOMN8HgznFYJqh7BOoo
9UjGuW7Ai/2aLWvJMVrlZOI4VMfjimoMWHmuzjZqPZjQRslre02/aT/URe4JSmOEmPWQMhu7B9vQ
xyf1oUra7RDuU9LGG8aE2ptu0KmXfKiYOqvKfhoHHsXFLHNaw6x4xrP4yd0uz4Sh4OapWRy1Z5k0
aFLzCGaSwZgdtCdqTdBT7Q9tlV99PfEigBw7Yjwvoehja4pA9KBrkQxflQyXbuGDV0RIPp1cL38/
9P0vOkAuizhvG3CeX6VeTpm+DmsEpr8N6FNw8v18HMvNru3SWLQUa+npnmYMKlnzm8ooHy0/u8F8
y8LqggZkk/ncULb0+2zgdfzP8K34i+vPSvLno+h8eYBmM/XTAGumf1Gak6DBpAXiaF0HWPXwweUn
3vz0+PPf8uNE+/UyPmAty9C5DvCZH3/LqVG9SWVtt+7DljNh35UhbC9Lw70fKQ/iIpZpUGN+Hn0H
Q62ZK3OoUqwDfQrbZJzs/aRR1OuUWXudxK5/Nr9lS5xv5rk2lNOjaXJQiBOHyVfHutheWrpTBP+j
x/w/6THsNQxEhP9aj7nsvnev0VtdT5/1mD9+7A89xvwN9irOU6HTYs9c5V8gPvs3G3A72tkfExf+
5B8DF3BEYmYLmXgnfMKA/9JjDP03D2Yf+o0FuwdB5m+R+L7qMWhBricc3QWNB2rem1lAnySRf+l5
mmc/BSNuQg9/ahh27jJlEYEDOfe7+O6pzK3XT+/UX3z/ICr98P37eukv3z9T0gCd6E219kXSLcKI
CE1EdqVMgm9DZXi/eNqYf6IambprMN6ybB0pyzS/EPcIEEmnRRLe9DIRh7AKWga3LgW5npls2Bw8
6qGUW+40x6yUKk7f7ZHkS91e9U732BcUxgkV3sssuURYPbMJxIAUoZ9LDx6qKkBXqCh9wRV7NHAi
rH/+Xhl/8fIZscE8dgXTOT5Q8438dKPMOmtcsuokRJO22PFMlfQNtES7aIYEdgeIb8njwMOsbY3U
Kcj4RgT2hTlWkFmRhXDdVI+JQgmQnv6kCdqlLRLPRfItdHubNTHec5SQwI/5u/Q3kRTwlIJq5G0x
7lIE4k3Vnq2wfqvls6OOAfqu0NLVRJTLVVcTCBUZxevejq6FjWNsGr41ib1Ihmjdd9kK4xpAtzi5
cqPkukynG1F9n2rRLSAeP4/xqLZEd6dVa2XuWVH7nHXo/yaE2XVszfBzQ/ZJsdDwy4y5dS9qw9qa
qRneOol+lWspHl6fK2N9Sk8mEeYXAg/ulh3iuB2jtj6aEkyfqHLdXYCCqVfC6OKLqQaAI5DZdzqp
no3tBuPKZnt0ENoQnDwvUQs2AQ2upUAgFDX5oW0K75kmBnL9eVxceDZHis6n03OOZD2PYNdnz4H5
rbQVDpqu1RncHQczGs45E4SEODxax+Aa0FXnmOqQd1xCx9Eq+tzYaFgkvtMl9D0OSYwOoFJoeKiG
jXCMK63BelpM0QFH7VPsRYdK+Hdh7+Dw5NbYzVTvjIYfKAkZ7YYskKs0a6ozwzPXY1fcuin3++cf
SJMH0A/fXs/WheArLPhImkjGXxZv+K9GRb+qse7SNEcLsxWlAGXF+XOZE63YOjy6bjEqs3WaBZyI
8hj6tTzMaUEMidFzrbvRxLkFnfgIZ8d7G2cFCJhvum3soFk6/ux0tYrkoam67swFyvD+8Sv8u70B
//+h9GZe+qe7/SeW3uklaaKX78PbW/l5VWP8P//cHzYC8RvPKOZrLkskz9TZk/BPvKyOPcnR+WR4
FgMI/uQfq5qBjQC8LKMHlkEmCvxz/5wyzDqVyZ/4yKksSH8LpvdF6Xd8Vk6XqA27S8eEget/XdaK
IYhqi7S5MwCByZqtP3jpKczqZ5IWfOtdfZU4LHSyRiLDjre0Xf0+Chz9VDQ9+2n5hNn7nNZFqluj
vtvxbLykXsPlOG3Eq4JZN3HKRixrO31sYZQvdD95xI7GEHE6MGIxF3k3Iz5IBJuDvPh0N365cH78
cp5l4ZFgUwmRUHz55bDRRgTVCrEaM7kymO4lwTsOx0uYu8u/dyV2xew/iEkY/GdGBv+46IRabbh9
lgm07blfjJRErp2mtlgZIKt+finrTzsR4bC2CQfXh83/fH2gTE48ZNoA4xUky6sbVO6S4ClO4pwB
qW/sg57KtNShfF6nTn3l9lB5WOgJIaBYbwPgATvVMYyI3Sf+1m2eZ2eajTSOfv0YasOxcNwXM1oJ
Bqcr2ym+1WM24TqNYP1BPJ04HC3I41BTbumHzOqavdVEQKN6nJGCU94KRePF6dVTVcXPVuXC2Eng
Bv/8PTDmO/f5rMAvj8TPPpExIFr61+kY2Juon2CnYA/2thFJDyMbq2UZEXgpgq1fPJaZ86JxaMB0
jQ2cRKnos+8pdPyfv5A/HVoc4RqGZVqgmYXpefMm+PNuY4pGNOLQjiBMYqUgmjhhHHcfmQMgzBrp
a9olR4FdHHbdkSnIbQGlhDi+uyXyR2OIb15ZXX0jiRCPdrUVofuiZPicTcZGpfb1L17s13Oki4jD
Q0hgJmJCySPkxxebQw3QknaM1rquJKit4uDqwy29bzeV5pyVLQb8rthLHwTD6GzjSr/XohFro7AW
ESEe2nVXvYHMRUqQLh9ajpjLDWUtfrED/dPd5XVy0MWxyfwMQcD9soXD+uGCwHQ1AG7pTenJajNk
tFRjn7kYZtdR0Bho6gOOSjaqtAWq575SwLfI4+AB+fmbNr8nnz9pX16LN7+nn7aTulMaaeqmwSoA
aTbC6Ex8A/+CtRDQE5pfXu7jmfT1ehy22TNwpwA8fPlAMSKkGTV1/RUsTVL1QNYWXks0LBv4VIgb
I0xBa01ZseoLDct45saXTjTt0TWe3cmygIQHzTocMrrR/PxxTrAwktqQvrhV5MOObBIB9gT+uAns
+MrHpkOThE/VuDp5bQPxyQnGBXg7IrbIdmC9GJmE3ZFJtVzCW8jWQlSntNIol5qgMVJ21exaj1R7
YdPxa6OYENgIrXVrqcuf34ivp6D5RjgmbSCsVZDFWPd+uBGTpadEKbkRSgn6QEICM+ej9FZJdvbz
C811LV9uuatz2sPIR2WKwCPw45VsisFNDDeYjaVLfip5y22D2YFXYnX1rW7lN9GDHAe25mrfdtO1
NZlPgZc1i74JnuvAW5KD+R66apHrya5Ozdu2rc/GIt3+/HWKP380f3ydX86FtBgwDy+rBESgM0Mc
oSW5cgl7+jFggUZK68njlz3zS0q1Fnjyz+qREJRXAnpUJLaKQWnnDiC79ThW1s6ScX9WN3UGlmNI
qDf2mFZXjjgop07uu4GsJNvW877A0STKjqRPCyxAMwn15j4XBiwwrRhTpIugEiBHB0CjKHuQu8y2
g2tYPIytfAmikmAOo6hnICn3pvKclWLn8J6VPW7fIKw3QVeFx9wp1CaJ0vufv2d//hCx20FLYGtl
8N/2l29z0vpsN6zcX4V2cN4WUGcoqo8tl7Jpc/PzSxl/dS32HK41m0QNrJo/foxGqQPEswp/RRDb
OnSdeiB9YR1LDAj3DCgE0f0K1+J01oTvoRsPy8JqiDvRGbMYWga1ajIcbgpkB8OffvHi5mv/+JTh
4IvrBQ+pz7fp67Yvlb2R2SBnVjJLD1O4cW3tqKq7X7wDX3cqruN6OnowZhKI0GgwP74DtZmEXe+k
4VoaVHeN7ribSPKuArvdqjianYvdNVUl5Qu1j3dymK5sAAtSL7BRCTpxK5WVEOjjHGTiSIOtHZ1S
fC+LOnDFLzYUf/VKHXDWNCUJC0Lnl4dLSy9NCiQtWHlOwVMlzhA/iNFGmEtDnTSWE7kbHSeqZ7a/
WF9mNeWHO+EirzoeXU82q7L99WHTe1mrCrq6VlnpQs13ecTAz/ILYIvmNRb4ZUw76C/uy19d0zFM
HKk+KyyThx/vi59N4I4Sm4FmFWwxDRoUOJTjocSgsjJjtvYZWl7S3xEIf5Gx82IqM1oG2jdsWgyT
taI498b8XbrW3ihoW5a3P3994k8PYA9yA8P0+SE8w77n1/9pzR21yih0s9UIZHSrWNbbwA4omuLr
gtmevFKi0qPgQzSM5ru0o0OnnOemqIGROsFTXalyIR1xjd31XUbRJoOJFPa49LQkvhywrJQR+W4b
X4dfFq8O6y2c53DTh5oPPCDZqlIMB5lYVPJi9qB/qNokdvM2ZfptN4knknYrcPqbvsayEQbDureg
Ifz8HXDnVf6HT4Vn0keFzAitBKHl6/42j2Ps1kbkrprevTUz+0p5aFk5HJeS4dwy9dt63djRWQnt
e2kE/D8FNhmGIs26DZvrth6usYGyGDDRR/QW5ChqFnhXX3iZ/uhWDikuH4eWYdWnsPkotebhXQ3h
piZ9unCzBL6LGFZxELx4ZOXJa3k3veU/GWZ8ZoTWKknNfS1ZDSSegkHHmoup8nsk+xKgRHVed/Gq
54UaenaRMmUepWQSiM41VvYLtRYrzbJCIs/Dtm2dswKjT8UZZD0CW1iAmlQQ7ywkGauCDgXdVh9w
J7R0n09GMm4i0SytEfIFf3Qw7fIV6spFkcLf9tdx+/aLW/GnO4HXkEO6y9GO8MrXJ0Pn5EHuVhb7
MaoKQU25O6xqmIUMcoQfV/p3yyz/jSIY83vG8/TTG/4nCYU6gpfsJf+9sSd+Lb7R2bNvUgp8ms+S
yj//pd9FFd/6jbWbRjhSdpzsmVP/Q1TxGSKweeOE7CO22e6nzh6DAj0Mmix5PPRcHJX/l7Uz240b
2dL1q/QLcIMMMjgAjb7IOaXUZEu27BvCsi0OwXkmn76/yCoclNJuq/dBX1ShCpKSTDJixRr+gbD3
d1OFIQK8QeYHHj1jk9/4t0YF1kVi5pOiQnRCMoc7wyyGT3sTv9oWg8gymZp9PALkT2X+UlQ+RA0P
rckYcOOuXLLXzmUivgTqBYkw9JuBCTCpBhWApvyq94t2E05QMpBo/jSUGKn84yHf/xVJ/jRS1LdI
zwnvEDqS2pfh4hbtIZSmpSIYURhMMtNzNPGQZT3HwWkA4+zY063b9nhVCpTKXXD7/183QA4meFQe
Ye7tM8I6pPJHYCP7MOIGQLIMayote2Un4RY1I+wHwhDl86C7QnAd6xyL+/jzLehT7h8x9vwIqIdN
y2HQYfqX5oItgmdNlmc1qr1Q1VFPeuxjTMvq9zrA54nDrxdyuYwDaYdewduvCiio7WZg4vuiJHZ0
URfsUJ5/LpFewXkb3QDUwEpArq29GsYRlCu6PydjEg+yQG4IPi9WP2hBfmtTOW6bSZgfbIVLjN4X
+0BOzbGH4LtvckdtjQr/MQVuYCvdCkeefui2XhVh09iL+9qgGRKHPMi5dr9QRR/NBjgmGp3hVVRg
T0cuj8q5XOKbOXxaoDwy7qBlYfly50zjdAsI4tWyF7Vth+ylMICkZU14u/jBzyHOP9iL9/nPb+gi
T+ENnaswemuMaR3apG8fnLcUgK0SkLPSDrHYnuYvEDY3vtOgFyUENKM4CpBuGIJ3suPLrg4XdnA4
IXv1GB3qMPL2wnkVeBV8wXTvt1j7+h3KTJ6/dAcBTBeVjLbdJN4yrPHvw7x6ZkMXLUhSzy94odkk
tlmMqb3fBnRL2VNArNUmCD1/VdbjvM9SJmo+4Gu1YmIttn9+ZpfzBn3vLp2DgLkDub13WSebWBgN
sxdne4hoxaY2pLwGEIwa9hB8gPxfbpUHjLQLu/y2QjR7sK3jqBCWygLtaOce/wpADma68uR67rTy
295eAWVtN97Mt3EzO0Facfn+5/v+9V3TyuSoZfQLHt+5rEhA5hgmVuQQWY2G5opDUKC2gBSpH3Tj
VgHOAxgqGk4m3pnQ6DL57fbkyo6GONBJ/BV3AC8/xP6qQdhoQDR86AN/FSRdu/nz9/vdVXRlAW2Q
L0fAebukigzwuVFn2T6evWLvNbW6goP28ueL+Jep8/nt034WTLwth3n4RSEDxc/zyMJACorsNfRC
bIndFrB9BBZ85WkPysAYOVvIwSDYLeoql9mrFaEFUC0pbPE+5txB+dVyYOUg8Wxs4yUyD1nLIlfp
KJASwWbDLvxHwzXmHZ30W4HT0zEZe1oxE36bg5UFO+xVum2CfCD8abk3J+KbtBAUSmrsbyAKIk8f
S+tE1sVooQfDH4T8vVP7wDsXRp30BfxVPU2GliAvVxW4rV3RGwgUBdC0hGg/TUwT4FAxfw279CVf
kheZ2g85SolXIdTplYOfZSN6fDj7GGhjUByMCX2inoHKLgMN3EQYQfYlMbe2wR2B6WfBaRR4EbUQ
pKvsxR1Yg2jwP1FQLLshCx4ZcLACO8V92w9FEoDJhyoFJ717tgp2+6ij9wwH+XM1IfjtGEh8QWoU
a+VwsSxInW+QnQnLwkN/Hf/JNoL5Zteo0ERuBttKyK8FAsvrCAHADzRaSB4SKBQuOrMIc6evVsyX
PsNjkOmdVlHXfaDI/ukqTs/RZm4zjsN68AncY1+1W8UBsoG8AJKzMZ49s2o3TtgE6yC2Idyh9YdE
Xhvv2GKI6cnkhfRXawfCo2aOipb83CEw4eQnmVUfUyt4rNs8Zxti56ZCrRCNcCAHy+CsM5tXg8T9
Bxc9RqQ90b4ZQDh7xUtjts2xBYm/MjyKkwDVJOB2GnZfp8jJZO6urrPXImjECgwaWNnhesnVK7ap
wX5q5xbdQL5oO+ZyNdp4cbAC8WX3N/QcblHyxz+15gxQNh6vomfqjU4q4359ZM4l+ZWyuNQ8qFfM
a1mxvNnZi14B5/MjVCo/DYpRfoHCMfLJecv0PXotUebAiIlozTTDR9cV+TMsG1ZA6BOwvfkLYvTZ
XQ9tGIV4w//Yimy3pPELXKLyEM9mc+2G3qPZoabXkJ6e0Aglt9IvhszgtnWbDk12Ytp57c4gmEHC
BdD2wqwDnZq8+EilrWRkP9jYuOyRtHzxzSHFbiB5sTq2xnnhQgFi4RfTzpvAoVq5u581Ki8gkYlr
9F3PWyBnhTG8eIBeBWlhIPl0nGpB2YGX1Sc62zD4vDKv7JUfs4JQoYSua7Jdqr5EKFwM8Wk0Dfyq
xjBZVz6LtkTd93zj3C5ZTI+4CjTkeY+BJeABCbmiD0bU9DpE4+tqYqt5cXVTBkG9BbyIoNgcqO1S
I8PsnokUoH6TjtZyimQrEFZAFwqk+tRh3ZoTwIxWBywPv6uF78HSpXmkXzAqxg9IxDyXFfsKBcfX
2uWuwzp9OYcL1EFeu4k82ocwuCrSiAu0LiJQ2pK3cmc0GuGRrPqRh0gxQD60kE+RJXurQVoHGjYI
UJU+cic1UYlApbbuUj2jUH06n064PyJOEvEEGNCFV8JNX1EID++RrKbb0CJE49Kjbtqi2slJQBEM
fhQZwcQWrNyCpGsFUu+pbYG5OQafO2gGpFvykia5b7zsBdmsczibKT418+j2HJR6NM/Xcdc+pxP3
lvQu4GJ3OdQovFHvgOLGeQZly/RlNhJclG1EGnCW/7uaiPU56mLnBYqPxVp6t+dvCGr+VW+JOpEP
+ijwXPHQVdzY+R1UIrhNGDauzAIQqBpPfpRK3Hb0sil8XDYFE4HSap7N1LFOssFCuIqybYOexaYB
Ov1XpPMdgomM/cdyRtXGwXqahmAw3rX+3G0ng/2bsjO3EB/4K98xDplqw6tOv53JYOWBmDgtqGUh
jMQ+xPpoujpHYsgkJGJulG3wseHMcEizgCOD4oCnhIwfusXN4k9YZfFTpGAmVn1f7fBLWVAZzpPb
MoDA6UvYJkFLRGAN8/H6XLHxcVi1OnlWroT4Gm7nWM17O2S8oWYepF5h08Jv0s1+oJVU7YaFVzWW
LDqUwKp1VrGscm1+7A+8GjsgodBvt02b56Rgh3uYUa2pgop9HfGBNaLju3P8zXR0DGukCgtl2Ssj
KOk3pOhJ6DMOxA9CXjGrWvZsIA89HdflrkVNuNEKYptzOtwnKKX1yC3dGGE2PyEPS/cIC62VzbB/
ZU7q5bxWii5/Sf34FUmzx9CEcaIknkzDwKPWp00YEBdVxxYI4encTJ6rNq7BZMEZMrFyOtpeUsAU
Qraw3nnDEvFum+R21LRYZrbk59Lb0bWLDxmE+A3HSX1LlKyvEyfujnh+QbmSUJ4mO0Za1VoCVNtG
f1uWuICkNZO9sh3nEXk+aR6aaoleYm/qG9JpJ9kNVjVAKU4ALHgxqcaUvJZ1+YwoabebqKy+G4Fa
PuJBAp8Ix5lNVHUf06KOEOf1k40ILevZdCzI7/lckBHbmCr0Vgg7BkXSKMPOBdc9MPmRTg2qoTzS
fPYgCuVYzyIot3bGEHrGXJeYnHIsqJg8uV6aW9uKnZ0H0v/KDKKX3tAa555o14MKbQAOS7tTIJyu
F1w1VlVBsNdlHsQotYktOuMc7+1OAo06BEZe3yYSn5YJb/H1WGZ4lCP0uQZ0X66mLHLIUcAIIZXP
yTvzxAbR/EwXErZukAi21kV2MMOq2+KxceyC+jmDrrGCE7dgzeKON0hHQin17XZfIe5JE9cJuTyT
9EKbsID74rOXAi0Fy+px/5H48A1f0Z8bfyqoO4e89kN0TMMY7JX7vULROY3m7/1E8ox2N0HLQLWo
xKeCERBaq6wG9I0Vsv+uZYJsQkPQpIbDak4k9sFIccyw2xGpYNxNSZ7vkbZYG7g0cBz1u2jGbNyP
eKdRfGOMzXVCw5xFOD5Z5njVuEDV/YRRQRAYPyuXxeeNKB+JyRJb1RvfGPHAnaot+9gtzgPMGgGa
xTw1hq3QkydkmmkPXTPB7QUVLnPTTjm7Vlc+yMdCsIR1QrBNXq2pDNBmJH+yQiJNWcTzk905tX7D
y3rMOIGcwg1fx9Qo12gtZ5+KuneuncV8PgMLDat9LkJaHLmqm+/REiCGC2IZD2Ov26uSJDhG7Av9
KTImkxoOxVZDELh0HHcMddK27ehV4QFiyW5rDGUA97bhr3RFLwOSO89mm/q4uHDIWA/2hL58VsBl
aXLWbamXKAXz3hnHFyR2/b0qhofYZ8WEQY5+T4GA/sJRoO9Te9RbdB/2rWtRFnJarwLS7N6KX5Qs
n03VaxEh86Fd0ELvTI8VGrfTlWXFwF9MDzS8F90X2XiqZuiDLS10c5DNdYuA81NvqC8pZ1oE8rAW
c3A1NgQ10D8KNUjuxierWrVBR3atw+mCMOeNQuFgM/gd8lzSf8Qj/gXu2okEY7pfvKkhC0RNrCGv
gVl0QrTUpW6EONyJEcTjhE6CoE8v0NbsRMZ3TRr3FqmN+N5srOpLYvLsC9JkxJq8Y+awwvBQMw5Y
LZQkWDzTPMPXPnY8/1MJxfA6MpLxMa8xwekalpvQzaskwipFqXg9+8S1sCXPga873RqGjcq+G+gg
rdGiw4Dvg2y7hS9LjimWodoXCSq+KMAessjaI9rSHpEeeS2M+DXitG8azqG2kLdoXZib84kOAwo1
etKdWq/ViGVyGzpaxZOcgOJabFMbPxWDG4YpxJlZzCVIeV21IFAxreB+q00fNc8l1Lk1Og7jXVSx
peCi87KLrtgz1g6vZjqTqLVn051yO/Wh7gcMFk1ra0QmEr4QDnYZFT0mMazJpiuLU4Is6DpwANdG
fmCdEIgn6gvW8BTby9ccm6MfTYIUNV0L3PMCsAmBll3rDVZTALXjWza2fEqTv5qLab7k0EdOGafe
efVTb247L02uKFZfaULwrTL3gz8l0FjFAwY5lHohJ1daGT91o0o6S33oo2C4kSgnoeykz8CI9dmX
wClbciiCQlQ9QEXPOcyCah1bRroWZnwL7cxf0YxUeFMLd61kd2X0S0LEra5RE4VqU3P5OfPJV6Fa
rRJD3GkuGEgZkLK4UlubIKYrxWrniMMpaz0UzsP57EVPr2UlhY9/Lvx1Q+qyh8GMwtKqQ8zMzItO
WS96s4rLUe0d/Zh0SeUg0LhibgprQzoPuIe918GVv+toMLgEoiK4onnpzD6kA0L7mDntjYI6l3kZ
shld91xX9CFTEwL2grstD46F1S2QsmOR90S36pOsP/t1hTpNYhE2qK11ZtN7prHFmv5RDdG9KaYF
GTrPOIis6TfxaAKZRRLLzY0WkfqOnLuLns6903NZxvD5R9Ll8as7Mc+XnfsAlYm5lNFZ6PLM05Vb
TflJyxpQB+k82KPs6mzCVuMpQUkvSff0oOlc9/Wg4z/0kBARSEboow4Q19GJZ4x7rUuZvZGRHx6V
ZU3/fleeIQRYMugP4FwgLrxtEsE2ivOIzbkPW6oc3xvDq7anCeIK8rxcyU/JOdYzOlirnh2ObGbw
Tlf8N304P2B+4joWjAlayG9vAV6AFstR/T71WmfViiU+tA2pWexieqjQrQb1NZiQ8xL7nQ6ZJX5d
xHQMtBKHTYyiffX20gQT0OYq6Pd+jW6S5BxBNtiwPiQjqvXOUlVfe7zftjhiQGLERK4c8uFjgBju
bE/W8583lL7WxYaiPwqJgPGEaZF4v70Xu4Ct0NCUwoXK9rdZPfvbOuK/rKx8nFqs2zHFGDcFJisH
lJTzw5+v/putxZyAGwh8XgWjrLdXz/mGdlcY3b72ScZQJMZYkYLineX2m6BBl5lRO6Sy34ypOE0F
ssEajGHBlOoXuPhNOn015va2DbIvcwf57c/fy/rdFwMDzSpipk13/+KL1QXYMMw8O2Qw0vY67GiY
J2hBH9mftHJG/xFBBVQOTbpnwo1e8imb98NkVaspqnvMDZMfy78JCdIdUz1HZNzOyqMJfBE6gWE2
SWBWLHiVfi0rOf/8K/lVKBuU2VTfvvMI9Oe9XVlSEqSB96FSoQeRb99tLzzDDQvV7v3Eu21gsGxw
PCy2ZejANydrhtDmfnOy9Kky8yMukk+NNnkYkvGmF+pH549YcctkeQf0dok75DFIBF/An7DabMu9
RBzYPtCwyIvafR4M9Gkykme3Zt8jU8GRKcSxL+tTTJPsM5JP1a4teUVGnNPSRY3ZaiYaU+RxyO8L
AbenQK7DtW9Hq0P4KU2/u+1BdiZWXw4pCOoAdms/CHKcPorRiIj6FGJOtEWhPl17EEBQAGa2pKeO
iFgglWXi3uMg2blubV1bm6ZAi77I1+hIaQFhWll6bHc+ZVIMYY5/fmWXlCKejZ4kS/AoLiqx7uU8
N7CGCTyjqc0cKRdmWUNM7KJhlY05fTH0BdaoNCS0DnDy7YbBPH9NWqtYEdbIgPgerVp0KNbI7cKi
NXtjK02mRIPOm3EYRBsFHYobWhJgm3w6ocDv3zutz0Dkt8vOk74J5MeGJ2eCLblYdkNH0G1INklK
oazi2rqhp4ZHktc89wInn9jNT8BRGtzpPbAyWQIUxKzeOV1+XfxArOD2C8Hk3gTG/vYu8nSxqwEg
+r6amysx8mAEKyEpBvedC4lfI41mNfgBTD3TE95lpGEKEtYCz6J9WNAVTElCLMxndkgcFK/Z0tLh
8OhKJbq7XEP9wf2r4WZ6XLLQWoo2YxW/AMV7SUbmTV5OvYeSwSvPV21LXTMWFO/0t0+NzWzezmjD
GSG1y58X3u9eGgM81JhgVUhghBdzSNyofIGWQrWPWyzGBP5eq6aY0LtpyTonIO9be+x/6HppVrSf
+jp+nXP/nYh1gWPUqx9YBPNEYO6O/AXNkIm+9SrLqvamU/60g7le8xi4WNaI9Ti/dzVxAf46X84G
kmiip2CZIKDeLhG7tMATu6JifgkcSWERi2mJe1xagd6DFaGr7JJQLwhMrfA4j+7ypXwup1Ld4DJO
V8CMXirfmm8y0LmHgcJ7pRxFZY7UB5ZY7XCT2uM7NJNfz1GkoeAakp26RPRLIEEjJw8tAbaWZ+AB
jDw/8CZFB6I3qZ9oZUMsNLN3hpa/yb65muYdBKSLUl7upIzUYSxrPAKQRWYJl7ZDIT6h2FM60yHO
O/qpGFlR0fYIDcfuNUpjD+eeIf12Y4uHmLnB+i/YhwyKNp0aEA6RNpr7ZWTtalLLyqbEjF3Kblt2
z2Khmjj3RAqLwkkwft51no5miaRfq8cveM8mCEYiQ5WXdnxwcBfbR/Cn0MOxn7JaLCvLYKhXYU6D
aWhe7WJPZ9bhiJiWnlDCd3o4kyrPs40yc0wUDYPvuhJ2k47LTSYTivCrbUzTuqpa3BcXluGfd9xv
wwZcPQA8zIShxVxmAz7A1MYhbERzF9+rnDGmlkXYCel0KxrL6DQ4FLlJIF5om9PNlrzoYqz9DU7S
2bZwG7xiEY76K9bnAueYZEbPCOmHSm66Tnw5jzadygrA/OTNVc64+zZOeQl//ia/JrA+8ZXkFcSJ
KVATf7uNmshhBNt47b7wOIzxpS42KOGwJZx4uI6aIF8HiHh+cfzQ29jeoN45MzV57SLNgYwNdRHM
C1gj6xJCEfiTCsapKPdmxhStFM10j3RMt/WRlWbkGTifEILNwV7H6thb7BGF0OZ6MuhjI0RJEaeQ
x+pNL0dhmWXK2cVECcNThH+cr6bVX6kZF4iW5ut5/kBrw0LVieF1uo2htD3LSk8DJE32lKbk3sx1
j2/S7dylSh6aenQ+mZncVGZwagZkO6S7yN2sMS95FLzyD0MPFGN/Om2a7QsfgA36j+KdfPg3mQVQ
V9+COBYgKygvRXwHZnVFikTLvmZIcR4Q4GrHSNhiIlTh2rRdOnwMI7UcJ1OZK5S26fsknxgeVMfz
GGYxe4BTTWCvOa0fMh3favfRSZeEuXj1pWCij+saswgMZuf9n5fYr3EPlCoZBfvepGa8rJF69L3a
nMbL3vCdPf71zE0IFWqmHXnuRmVh/k7UO2Pm/5nFwHgkDtgUZfDfONgvDsTYQnmowYh5T2u7Ws1V
560SPbk/z2La8+vtGQoNxBeQHIBGej0GHDoMAOxy6rdNjbqIBMyyAqrxXvC4PCjPNwdeF2IzJyB4
7rdbzp1x9DZUofZJXNu0BrkH9LeYAjAuw8zvPfzaby6ntzhIJduimPjl2FGVRAWpVPtR6lXr5afZ
IKFyWtYOteN7GeRZ4eDts5cOEQVEJ0A2MMl6x/8DlR03A9PGJsE2Jo7lCWMSh1jYeJvJCXaMmjBC
GRUZSVIgZY66g8Q7aAwPlmUUt07peJ9HJw/uUziirt3fta6PtozbuStnHOotNinoAjLSus78qoCE
irpZ1RXJqbARPg4H3P6SBS3qNuHDk6Fx9ez6IaEdfkx7OOFl2tYYwQm4K75fHahhnHhtlNARnUgC
g0Z77Dghe0dHst42Ue0Ae4/sK7AcBhMVdYeru7OmbLP3nrB5hmjdntzaSDdhqqK7gjp5twwGBtCF
jzRJzA9iYbzgoYE41Fj3DzOJ2g5rtRRJGCq1sBzQKyGjoyPY0FZPmFNr3z37CoCqBAemAkxN8rrA
scVJrvq0GUaQFoWiZRXae9ur/UOQcA9GFUb0dz9WnXMXxYnYGHSHr33cGOjFLNbXs/MT6rXynY1m
XybqiPiQhAlAtEQlk3r97csOIiQ6jYxTHgSFj68Ne8zOQI0Urclkm1wqFbl5V9V1AXVmdNb2MjuY
0ugXiGzRxm86l/kF7I+Vh13OJslwmBCpDXUNySZOBpf+zuBsZ8NPN9AqGYQXTbFjiOCsdVdi59uo
ds7l6JwC/fFp2d11sXiUHmiTcXJBksje3vZNXhxE2vrvdH8uDy9gf2wodjB5DIHmUvGGyGlJu1Y+
gkLLvonnFS2idzKNy+B5voQHwlAiFAtF+eIBU4VJGgGRD2AgxeVmoBc6NJB2VbUABulAvs+G8V5V
dJkUcFFiJ6w2Ouw6bFxEqMhAiM2NGw/DNg9zowiqSbWYNWM3ZQEYYKRn2LI9lo2JAUSn2nfaWtZl
bo94ik6QYZrT5kRf5CK3n+sc7SZtGwbnGw23KW152/aySVN9QcyTjlXQ+Xui3SNtB7XPHHd4+vOh
dUbAvQlj+h7oVwtqGUC/GiD+zzDGtmk80RjuLnUVDNO5bg+o6uLWjMQKTldDEkC5Mdtvk7mEtzxI
57acQJ0WnfA/omq1bOLBww50dNJdny+IqLWCR1m3ZHdxtctV3HwY57k9ysbj63Sxd6prxz151Vh/
EhGoBHjUVrIfg+7exkN3FePo8E7ypUWI3yRf0CNhhiM6gU8gzbZLMOUMe0T7ebm7nl11Gm2oMWYV
WesAdb+r85cI+ji7N8fI0xJ41prBIzqsi7lsMgvsyEIKtrHpRaztOIwOQRT7GxyHDfa12R6nRbxW
YDEOxuACIcN4e5NE9oNCtX5bNclwtSxxe8hqF89muaCLMnkDU+12a2i5UU2v3GZut4DwKfWMvTB2
OS6KmyZEVLWK8QVu6vZ24i+RSh2AWMQRBq+YDrrhmN3PS/VpaVKbINRfybHnZvHn0Wqsww3uiN2z
URY//rxk7F9OWh4nHXEwlR6tYMh8b5dMFQRhslA37SLV0DvpjWbtpQMG8+NHOP8h8jYOfO0OSl/i
zuFa0PFap7LyD8pHGdNI6F4p5svQdthmKe6B17WKzG/1nOJruATLNZ/inoah7JkIO8WBRlK/4qG7
e2UO35e0Cq6p8kyUD4HsSWi6u1rU2OM1olljMfypz+Z+hwvnY05DeqMWnNL+/AR+9wAYLjl0btk8
v2Q26MHGDNp4AEMmX4HM+/f6hTc9zl8wc4Z3epHeL+EXhSVpA7OiHSkC71JNIe9puJh9R5gAE7SB
0Bw8g46KcfYrcINEinhnm2F6G7tdfC38hl3bkENYo7VspqEmDfXHEF+/4fMQhKcxcm+wBWh3FlCV
yYXtmJZYPLA4hxTcJr+LXYMWlw14uA1WOxsxsiTJPV/Ltl4ehNZOtbAh/2mVZXtADNFiFjUVp7Q1
3a1ChnIXg+t+Goes+cDUOtxYIh4eKhR8sQ8FbKAciz6Nu9TbyCA/B5EUHBkrPiCIjw2Tmln+S9Df
5G7hnRooAjejSWxpK6V2rb4dZnCY5jX58CTnCE7cQKxEKNLP11J46Q5TTZZSZ6S3wixNhwaR+RV5
4Aych8VMNsYKahc0Ob1TGG67mgeJE6jlbmMaGqRRNMmWf3+1sEhoKGhQtQ71b7dL67qZyiOgnX4D
siSVPL+mkkTY0ik3nizTd6qoSyI0RpkWHSHOEyitHC9nPYF/ZKYpevIu30PurIHU0odB81VMIyNa
tlVIfoe6T18iU9mNKIfaRm4AE6vja5RWMe1xkmqTxiF2EFmZP6GECvgo4VBQS4v9tY+H+E6MFWHT
5eE3QDc3ZkMEQ9wjXVuJn65xccWAEH2UaY4tkC7Ox3Gwnx3Dwt868D6GcfKDSrxfVYwyr/PO8A4R
kKIblJH8+45qZxtneIIGQ0azqIgrvKambu/Sudo7DKR3jM0JwwOXxErQfqfD+OvGZsQHIp0Ui0Jd
XlbpripABi+l3GV5TgJScT1gcwGuaol/iBccEP8cSKxfE0vKNsmysCh4GVUHFymID7ytFlHk7MAx
2dtkBhlqWb57SnIGUcVixtdTgJJn1LpIefTNAZF4toDCGKzMebzeWDAKGL0QD2H+K+g5qMyBXQJr
WHuvYvlU1XyVxC2bD3lLuJaFPtxl2HDyJNm9LMpvs35RUSFx6RDsV9fKvoFfrLfonhHey8TYRPQm
H0ufw27BLhqnEbVjyvBalxBzl1G+Ki9DJIV7N1Cj3c1+uFzT1xJbq59orJTNY7sQJiyDyH8+WitF
qtX4UfwMosxGORfAvQXIF4wIgSgIOCVjdi8mdpl5PXZOty9dfZrmCjB4RV6iEs6ZHu91zYVcNrMg
9DZ5P78UCytIDYSIpWaBqgZdd1DxnD2KhY2AcP0pQfByx3OzEazlhirPQ5em4KwPjJgpwFxPf/80
I1RgVWjsGs+gmsfuqofNOdbriTn/atanbhqL9ohtqEecIdIm1kg+0E0oq1sTlsud6d9YNdP0HiXs
Y9BF/qFFM/OmiPkVdOMQrQmDbtOWgL/BfHd75LGb28QCRVR0YcnO42sa0kpvBwNj1Gqw2m0/l1qM
JAyOuJry7DLp77PFfXJn73sOXnetMkccCWzDCU6NvSX4a1e62d8PdUbKkpBGnyNl4PL4QJpyBYN9
VgVkOnHO84+xMaFo53WcV/v/NaPzfxTO0hf6XjIKSSJgvf/1n39fWJMo3/wPNqSEuIf+ZzN/+Nn2
Wfdf//mXuKf+zf/tD//jfyX0CF+PZPN/1nlcJfG35p/Mzb/+4G+FR/9fsCIllkk0SLC70U3Dv7Sw
fPtfpKqcejqMI2ukeyd/a2EJ719wMumsI62k202B/H+0TeH8i7+AKc4sSZ55oP+OpZbv6p7oP0oD
ZLRRPdSUVfrpWHyc0+p/nCM1u6gtgtzeV5j1PKYAjTb9HBdXE8TNzZBOPSsq/xLj6IKNve9/Sbw8
Z83JHjs6/uXsC0ZfN3HpqM8Qz5NbEHXuDX0mLyRn7sAHtoKsVaPP3M9iGXGCHcEwnUIVa1xxVxdH
FczuPiKj/gxGo3xdSq/7HAPKw83dFt2d6xnTPa6YyGi3prF26lLtRtMXVxM9zA99O9bXTluUV7PF
yGaFa88xGmZvIiMxtKXnIpzrCgOF6zQLwJckvlM8qiRczCPhxbg2Uy60lk46YHXsDu46lnn4NJVp
vc+lIa/dAAhonVSYRKeGr/Dl8ObkUzj55lMoZw37tyM+m0YbnfospckWZYv4EURhphUU8vKqaSf0
AwdX3S4iRTcobfvkZOYpeg4NvIsVpWEOxN21mwcDyHCA31QyPwTIT+/w2CpuCt9Rwwr0IQ4XYpA5
5pnd3L/iVG98CG0Nsc+ScPxG9Z5jCGhgAgysZ65v40lJ3IhNn7ED4hE4+UbxoEAvzvPRRY1s1882
BgtFjYcI3UUbe3WvPFEKy2NqWVg452Ssu9xLg4PoESgGsvwadxlzUjcmQQCJ5jQHen8QVcGU9/56
6kzebtwHQq0WHzPmFjtKrLMLj8TBZHxOtv1Rlqa3G2y7+aGhFglPA7xJb6T290pZ4xerG9wrzHWj
a4ml24Prz+JppE1yoySuSrgemp6xA7yeot/SD4DYlIOjL5WJK6/wrZ2B0U/BXVMX1RZN6iJay9LJ
r+aBNNOh6XwFWMt8WGTlXdtwOLaW28uvOc7oVBGy+0hTJB4PpUjNh2Qx+goHZrzoVqnEC5yUL74D
aYvTuKf87kY2vn2SNe4fpmWIeRWGZX/sW9SvV8XII/UbF5N3zArwA416WE0qGKZTOLYfQbqEX4Om
ACemHOeLhx3tNVO07BCJRmiUgRWgJcCDWkmvAG5fDfipYAGBFg8fkmKTST7rLTsr1BqsfrvYx3Zo
IR7YmlGQzEPzQTtH0HZKtya+BRtZ1V+rKkfOyS3zTd0NxqfaaaY1wPorc+Lo83qOITk7d50Cn0v3
Znf2Ywkb5zOZ3DbvRbsrS48O5OLFJ8f0Rwy66++W0dS3nCUf66Z6DRJcTULgg1nQQ+pBNwjk8XiX
19HGk5Wzxs9sWMGF3JWJ2+d3oYTNBSbNm9zdKISCtZnjX5c404xZdrvsJ3P2OpCcoLBJPTHssEcC
Qh5jxQU6FolIx92yDYenInCKG8OE5ovwJyYWTtf3D4hihNEK8GjD4M0EnbiKjMn/2qc+0PHO7wzG
Ll0Uf1cFMXFDNBHTtjSXLrjyUeaJ93bPw1l5eG9MO6zMuUn+SJqr0o66kJ0w9sZplIDC1yMUoR+J
XWCjZZE202ySLItu2iM24+zNwTERKa+to9V4C7BT09znkZNjebaE4ZPHo133TLxXI13anR8BSt6o
eGQ2AwuYFkva9TvExZcb7KjNj36K7Jdv1S7Q4aQZrnMhyqPtheo+FH64M0njXqtkxHvTUFKQHXXm
vIPtMm3hwIxguzHsWRX20H+pnMw81KgcRhgJqgTDvKTe9aWKqB9aT9w0EEdhhATJIaij5tkRjVyF
zdxsarxtaF2U3RbZ0OGjmUGEMRB8u/Lyeq43IvW8PdBn/BrCqL2nx8Woxq6c/iWaigzWYHBY8NDA
IHY+dabKnhsRtVggT4d+UcbHvmIoh4K/+jDT575zW3O5E2BE9n5R2PfAXaqkOyL8Pt+bXQKlwbOH
JwQlByrHEcphOnn1EQC7cWu2hVld26ymO8TaslOKfSjdaRhsV86YfQlxRfviGUp9qpO+vOExqwcM
KZyvnSwgfNSNCeCgzgak5eN+PqG7x6SZRlaLH0lnb0cfTlWLmtsNXPFi2Yxhn2ydoL/O5sVZx8sg
AZMMy3XDdA7FlYxXt4wq28GkWz6GS0cLAxdA9dkPJhu7kqm7y5mwXnlZ/t/snUlv5Va6Zf9KoeY0
2DeDKqAub9/oqg1JMSGkkOKwOWwP+19fi7YzMxzOZyMnBRTwJjlxhqTbkPzO/vZee3aZImcKkdw0
/aizuDsYfceHlGtO8iBtwbds+d1ekli3rArMrcizaW8aFWWB9AXt3Ehw6/NzcyKvKoky0Hvdou3T
Hnz2qEsHUyzkrh943FdNvTVSw91OlEbcx4FywI1obLZoBoWuO09iF9kLPjyK5DOe/fmpBf92ntkE
ZSvDq81jZdNJHsIlNw6cHT7YJ8BfNIbsndwThK65TKunEVQ5GRlGjwLyTuOdR9h2F9NXE3537q1O
nL9Z1OfwNc7Sm9SGamJVCk5KNEeC2MAQZF8H7qeoSbFOkGsSRXnn2b7RHoY6IaiPnA9bC3rPkdSl
+0XVMHzG1PhourKcd0lE24YnpHX1AiU+va4V28Kl4RPM24hBWoHNYBsTjDTXWuYXes6HR49bzVs0
egk3XbNHrvLpx7JXHurWkzel8lNaMgs7q5TrPMbFDnzdeI1pDnL3TVpb17auhs3ITXREe16ywOlx
rpz+JYjEeyDUnkvLP2FyTHEksCfpNbEvauNBn/mcp7QcjlMd3Tg4wQhp1GTaumHmbFpN5gPUvwyL
fpA4JxIy7kNPH/pKU525S4ugPUD7Z+hw5ky9Uy14U05UsxuT2RzMSnN2dcrDdFU37HEkUal14ZjD
HRYtxbwHrDLOrWBb8Ux5KjHOb425KUmdGs2tJNrzhEKvcSINgDZTYhVWStobr3S0RwhXm9Ge8Ojo
pn83kG26aYDnrRIrSZ+NaTIPPUe2TdMX1UfRpCzuMlVsBOPWns0lGpeVT9elt+CjVyZnMjWTFxhc
d3poYDTsu7RlMDHVnlbI+ByX3bTN+rj+GhRqPo10oH/3cFyHFTTrivKdU67xuC/M2ninWLInl5H6
HH3GXlkxHTpacpJ5JGwmyWykh0gfluoGAYcy19wb5DFuJNSVvuc9nSwD1VsnEWFIHQiV3tK9U20N
lkJbrzUy0q9edYEpSLMy0TbSMTbFj2r8oBpD3SZVfdP5Vrs3dDwOk0FVmt8m2QqMdXau2wIIQjec
GTqTdRoU9lX2ptxHFbf1UtfsbWWx6/WSM26Md5IFH/gmrp4QapuXdJ5wBSfefVlVdHvUlW5s41o7
cU9EPjVlGpPR4L4KD3os8FaiFTNGBPV88tx22FpTq91DLrT016Gafe/YR2rceZAG+Oyxn3xnyCo7
0BO58YWHVL0bh9b49JxB1Mc5r5n9Gj8LPgjSGIi/DU8jRSTpgeOph1m5my+60i5sz5x7hsnpmAZp
vLJ0lZ0VflOmuQ7AmJ+nyRRiuVEU/zRwoCU1TPtcIUMUEt1jaNOT5VTuDXcE8l90lpxdYfYNHgUr
ean4F2czx68bMmfON03rExqqqPF5lUzWD+ApmjPXq9Mxe7XTtqmn/o4WwWRYTXC3LkhULTE0t5jN
TcSEu6bp3FiwpYV8mPHw1ZtqqMRrkcX52VLZrIdGbjo3oKaLdZah4qwYVqlkiIVb3mZm67ihylVE
L5UzIH6SchLzRsx6SVQuquJnPYuNU1NVrKZj3daOwmPEsEm7lJnMb3oWkXLdqvxi9q535wvdxuNG
Ms+jN6bIP/wpMd5F1fkXF0rUaxcb3QGbsUa4xk2yMsyhXEApK6JuxHcJ/GZddGPBUrhC2YlmvMXQ
v+MWelgzbUYcunBMS39r184uyAK5dsuqyYh7B0Y4pVGz4671Ro14S29eVxKNs+Mdu+k8RAffxaa4
NWvne230Yh8VpXYYUanDLNcO5DD2tpPczPSLrXraKNYyFe2DPjTahuhvAssMhmUGQTSUNtmJ5Yjh
efmeN4IQWbktSmZD/pKj6xTf9Ym3JBHEINxRx6LIwM0ROYMmG2jroIyfg2aQZCjEYwt4kciKeNIY
O1YcB4cteK4rp/OF8+hfLJMFea5reytBsOIw8s6i+Zw56Zq6Nh8OUcKzQRdf29I8CZ2jmaMac03V
I3jGoZ5WWUlk08vyeZMPBuZ8N5rXUZJbYOoA1md2x9/ZFwuNfCjJwjUsw8010aG3vK9Z7Md7Iojx
urSL60x29naw8nLjxvp84dqzd5UVBWsePcZqGCYyM5ybrGNaKHEfAU7a2VEFxrSmAazWqVtb2YlL
Xo2ihS20+YyhVKN1djSc6G6Cnh6BFcioQdOCjq46T1Kn605w/sNO8v76jfR22ah5q9my+72tedGX
zjC7F5UWaGpxLDmwpCQsTqOaaD2Yzb6/k0A1440rquCLtPPxrbVEdFIuSuC+oY2JgcZ5EUPViU1L
cRq68MwB54iGmNy7lRjzDZs6ChtGnXx2FujPolDyodVFRVqoYVm50zKpjsilLTOorxpueX31bNvt
gzXxVdRbH4Zo5py4wVD8m7BZGmX9hpEJeoU7uJt2RArFRbepDL3/NKcuNplOdf9GdJa/54xFyVGs
V3j6WYnCgptwVpdN1H/lykrCxKkSYHd5TI3Y6CJj86h2SEnTKBCIYzqbI4hXVAIoAQaENbOpTobg
ns9dSB++CAfUPqVByS6hXbEgMqW8J9qWSI8IN6dOIALk/9uC8/+ZsPajrva//z8CqqElLbvc/1p+
u34kEOl/1N9+/ye/C3DeL8vqG5QSjq0lafMvAc74hRM92CP2ABiOfzWx/kOAM39xWA0AQsB1Zei/
anO/c9MM7xcf+PYSoUDPZ6P/H8HoIRv+JMC5kPDhki2GEzyY7q8JoR8EuIQth2+X9LdWFLFplKw7
tCo2o6ZfYo9+R+yMiEwMZgjoDMsbspzR2XALuYXeWZ+yNDU4B+uc7nsrCapVtDROmGbrdSsftGaz
Mwva20YjiUlCl+24AaDiG2GRDM2xwNj8MpO4RvEu5SGxJCHnLG32XU78sl9uYXUtimuCR6pd1aLt
gzVhig5YZwYogyHD7gYYBE1THExf2ici6RE6eGWrTdRZ2mXA/M8YyyKYI0wwap/06jWMAFTVvVOI
5Ye6zn2aCTk5ll1ATRWHMOofHMt9VhzK6SrTY2o0ssrTy1XDkZcknNUJdMki/UIz6Osw68kF09Bj
1Mxz6Ii8Pzip27y5Lm18tklfNjF+98GdbXnRk9Tcjb2mNgxXNGJNRXzoMZysgIEfKEuRW1EW8ybg
rdtwreOlqpsICkQ83DeFyQ0/8C9+OcqTKdoEwnT2YZL2XHVg7+4jdmaHwqA9GLfO9HWcS/ccO3gL
FvWhkKxmsh4FEXL/MSuTdA6VbmFXBBJDoWqJun8iC5JU1M5p+N2lNAz6MMaBcSmHyvKEHKczgarx
npWZDA4+Rz9aW1JRX2l0mRqGKlO9lV481IeBlfrJFYhJK52mg2vp5yXo8Nrve5pJuYWdhgU6F2b4
9BZCDY+x1VyJ4JZdqWmFbsvpalsg2x1pCEzDqKJiHfi3XyeUztPRuoWeDDJ14LhGc7p5k9A2/1Xr
O3MbqQGAA0nw5SX18h5Kjf+E9upsnNYfz5nK+2treJKPkjr1aYXr02kJQTf9g2+UMdJDYpnPnTO4
XxhgGnbUQ2PcgShxrxiX+3ztNFG57xxPYnazBxoUun56bnVTvJPfS+9UElsbS4sRThgxJ3EeeEn9
tpNGuXEgd0chTSzJfUx1/B7/mL53MzFu6dHNZRhlC+Ky8sqLNGULO/WB4wTND0O/9bT4SznUY0hn
YH/TtbzHSM3pK2JDd+uUDb5dm7Y3vymu7WjcWNNkEJwYZ4zh0sKaqvGWaZymGiOvL4zKFi3CjoOx
oJvGeDc0zTKb/mperBhe500XIPOEGjilta3pw6eXRq8tStaZw2VxGepgPPAQTdNVOnuckFRun5n2
y2MxK9RCwhPRNVWK8p9iqU/pEq2J2OYazJSNnngwnKT6YmSMheEYS++iAiQcKvqKfG00Fahhzy/d
k1MxUx4G31TdAYSEm2z03vKnr7bOh/Sg/HpYK9aKH5LZh94gNCm3QpTrp6CBw9AlxjPggnE8xKnn
GKtU9Kx78etn+jcLaS4405qbpWiOVsJHsajeQ+f5+THR+PGhbvTTU0x1x9rp2vzZMEdOdXHJeQTM
BtvBmc1Duk0YYYBIsnvNNp7TyWfqqYcdVDPNCbnZf+nqYDgbVqvoQtOLJ9mQUQsFFjg23HLUPzyP
SgI1RvLSUHW0JdwYbfs2ZZYvptm6lsbIplFFxqtsoLp6TevsR64i7rCV2PppWz0OiWkoolmzQ5kk
4YvyQ/RteTezgf9kFTDtMw9AbDOM/aYwdX6wQU2u2EhrtukeEmjtj2Q9bT+0PUWuuo1Lf7yfVO31
G08pREdIejN9zqllrNuCdsdNkrI82UcmdULrvIN4fylyMj2HvFsqbiGTDN0KxOX8mFKgmoM+sdsF
LOfa8VrBEHR3FOcJcuhE9S+jUwLG8QQHbCNGSZ47zDxmtRS5BuUc6qx0l+n6KlUuz/ii6EO3RzJv
mk1xuMWDB3VGVcfOTWe4QoE77KZxzGkTb4YnB/mOgvSA5lcwm4RY2YK4IS3atQRsNRIL8LraAiqg
+Us+Ce0hzGXlpftMFEOO3Tufvul2zQa2z6bgnSOuQY9pmqABV148o9zUOrQs15sJ4+PynqbQThyb
mT0u5b1id0VGX6ZefIpcK07WbkcqnidYWSRXr9Sb05DHA7UPc2Ufhsq0B7Iz5bAnR8ZVoLT8VE6S
siRoMPQEpIQv0pLbpD7E7T08lnarZLMYUOZ7uyeMtYqyqHsAMWODI4DfpNMv0Hh9mBcLgMqko/St
EZMuMTqO7jPaPkg1mxJQsc/auY83XQ3tDDqcji1FL9M21Kdh+qTOUn9yjHZ4aANBTrWkA/gBI3Zw
qrmGcU2Z9r2havuZREB+4oZtH5WjlSsnbchyDdNlDiRl752L+u072RnTFRFyLtiVMuT8gfUDUbOz
7GniT1QuGNA4V1qY81GKVV3nFJuqhjLJnS1t6zuDE4arSvPz6c5CjHlyYqtffrrunzJgXGKXWKX1
lI4p9ztPd9vqiHMAZHOT1+1V8zqJVNWbwXMFlGVvFKldsrzRYfA7mtGzOtAiKrbcmHmNsbzJHPb4
rDbYCKRpfiVqBPHG75V8raNMvzYph/sVVSwuoMR+KpghoAysdU92rzUn52tnIliVyFtWKISjHtRs
U7rpE2kKHbJdyaYTghuNjvAaxtKs65CkWX7lVdfHaAG57N1KH0ZUx059Kon2uM7FIPxVRMDV25cT
ac1V04F3CJcqTxXGOu7WtTsbmgrTNh8opdKrOSyL1mX54BjVB4VbThYCtC6PCrN8haWj/kYOTu5B
N3nfOrsHt+CPcNxgeGiOCnkyzZuqpEl6hZAuXh2aAs6OjscLex314fqk0guGpyd/gCS9khjFjQ0H
KvicDY3xKZAKOAJ58UGNCx66IWpe5qKE61NnfOZ953Y3Y4YjgGNSjmBfggzKu5S1rCQCNW2LrKtv
YfHNXPJRCzAd/kQM0aauu9eky3D3CJ0FNrYDc3iZiMVKKKxGKjZEI8RJs33x1FH9/Mnu3uKS7gdZ
bspuafpN5oKvHiUy9Xpum6rmrtwptElluxBeLRf3u5nmYd910Ze+xtlXw5HYNW5rrqoF+qTl07yZ
p3jHQEohekbUo0nTYmtP1Cr5+uxSrDvS9ILPrVwNeWFvdOVxC0zyTD0PCZgSW7RjyHOf+0nGt3Kp
yo2g1MrqXPZieKwjHHKyjXJSKfb4GtSulKFq9PpdNDmMlTmOrW9jzqk/ooY0K+dX6qE++yTiiE54
FyiH2Rsrf6KKdwUaxIFBRLH5Loqg0GNriecddhxzaeZr9BeKpEf9GVwVud55tJxbjE/+YU7AZm2s
Rsp6L1rYLKsh6MyaG20BCEY4VP/M3CDWVFRQ8ez6MSsttwyqfcPjIqTTnvhMIqv7MkiGL1E71iuH
WOcAjIspU4uLU88ySFtR6xdPe03lPmFmlixsL81gePSReZsFi0i5NArIOwmJ5sUEqu6s8z7TPhtb
AylDVIafDXLnjjuQziZLt6qaL0GpbvVqCNgUGthz2NIEt1laNA84ThfOg5vJakUve/3VJdvDurpK
YTYyoE2vPpHsb53wuDoIrdbBiQuPwTAp4vINK4t6dLC7nSnnMW/z0VCcuf2s2liw+3jYsf/lOUsf
e0hHO8wfsxz3fHuGeOk87z7sFmzVvpyT4ASEPxfcar1qafkaKMdDEy36NcgxGsV1E3qXzG2Btu6J
F+CtbjjxValXEtcpABxABcSfC814C+D8HA3WaJfBzEvMb/4ygvWtYB7IZ/Y8UrciaLiYo1dzMKnz
FNEbRi3jVGms4yJoxnFh55/cJNK3dBi8i/T11ILAX4PoSgu9DFkhjWHfGjFYrKTAlW1E5Rf2Q6z/
utQOk2TQMLERYzSsZCEnscKNnW7YcFct1rGnmQZcoCCyaWpPrTgULHaeUjh+HyKAKrdqYjd7Hzsn
PeNXhMnogZUjX64a493qcFONeizIu2fmlgJJ2CU2+6XSHE9NhO5az1m6CaxYXq10Lm5Lz01hJGkC
o5NCHVlVZXoYqFchZqLVbwHJ/lXps3JPCIC/I+fQ2FP5k7hMAYHlyiwLelGkeOhyI3sxo1x/SAbB
+Y8VeX0DiCYadibQ0Za9sdlmhMzZztOV7BRhmzSwGLksNiPxRTCWgJR8hoKieJisGXJbzOu+C6hd
CEvoNf26w4F7Ypkkc+JSrfyiYvKb48xwsQauNcdhU6j4w7UqhkXQmrgJvHxXNNaMlyMv4pNog+7W
NaL4IPkAHgOnR9yK8vosLF4GkxHtOX1GiqIdeOBO89Q/moN2dPlAI45fr17K3RbXn3ioy/npB/nj
9jfzzo+g859iFugYSw0coSx211Tw/exF9S3eWKtq513WGOldNcztjR27xhonsXdMKFraGQXVVn/9
S5fsxo8+Isr+dKz3ng8swCPpvviMfpAxzMQo58jLxh3KrDwzZbS3FEVQ6aGzk6hmiqo5krkHNQz1
51//5p/8nLxcxglGfd0iqYVV+ye4ROU4A5tTLAO1XxHuxxnQsxB0tVPDAmwGQRv9bo7/bynucao+
/9f/fPvIk2KdKKpNvrV/0NWMxYb8Xytx/0ept/zP/+D3/gL3FxJDRLRplAAzznf0n0a4gCoCSmjg
7zDd4Z/mv/xDh/N+QYJzDL7G/ONFJvvRCAcrhow+PTvO4oT7j/oLftPZ/vUFBoOyXCzOYrgL8FbT
oPjHL3AZe4Mea8raRzF7DICRWkx/qRFZ6U4vOxrnfRoMbv0kimPMq5ZfhD15acrq25QNSdx6PVMI
NkBKjMrWQKDnWLiycgcc86h1ESH5CcynHzT9xsSO9zkZLd9Wil2To+3wYAFk5svQDvrk4BbUBzmF
urWTwrwLlAE4zpzckNqa4jyaQXJQFAjARrEffBunDe/gtNORTNYlvVOXVHlb3ELrFNzbxnExFoAw
9qquW8/NMIcudqiV2VZRODcL7A1ExNoGbrexnI7FXB1cIqEZmFGV2Nlz/JXkTgICTMIOI/wSzjqC
ZOlYHxB8qRXu1bcizwDrVYm/QuuZyV1H0yHFInI3B8FwzBI9/mCC6mErG+pYGO2bN1Jwrnt6s03R
CtdDwO/0E/cz6j3jpq3Hj7nrnK0+Uqtlp9R11Tw20vmdbcpBo4elzaPnkdNjW8uzTdAOO9wxtw3c
rIh1sPG1b3bpU9Y4Wh9SVjtlL05DvGE8vIEUDtajgFS2WmQ4+pITDtJw1Fa1kT7L2Bk3ree9uKl+
Thtqpn1vPaihCZOOlCcBQZ99odafcAA3K7bMxzwnJD0l9m7U3ATrRnubNVUjmOMUtXEiN/dDZb9P
A2XIOZ6au9lyzevUcQqRFBx/zWmZn1Zsv8Q3M3IjKq5HfgIi4K4wBvtb03TaTna1f81zgWVtdKfv
TdD2JCwTqnpKNc6nrMqHcxNnV92oku92wyoKZY+uFqGhuSr2kE4i248q66BL+tq9UQfHDFUlNITB
nngmin81I0KroN1us5ISvsGd7/24vMs8djRi8G7nPBkOPOCSU1K3LhTgLDJviVXV68SZvkknHbe+
JmHddf2FHuqDRrwCkIGpsnvP65yNV9XpadSRTmrX31op9ogCmD5P4mI6tZl3NTTbuafDRxlnz4tS
prG4MOp1AdPXCnM7g6HW5rID0S0HARU8WMwRac+LXcvK5rpLXRDModsludzYM4PDDseIywvWUvO+
YWPKCcrKVb/ucWrB53NB7YVdX+u4N/SxERvlMYbQshcnywmkhA8QSQj5GBUMmzJIDS83yOymF2f0
2bzdd0ZQtWFsommC+CRO8ayhm+Nn1Aq/nddZ7juS3WLph2YPu/vGidN22vsAV6YTnFs5bP3RYaYX
RdP4D7mJw++Q4TYrv1dZQqUPbeMBVwBNDAGHIy11V6ACMaHgOPDFZqJgOQ8F2+NyF1sutg6aCJeV
mKkn8TbKNV99APyLczgBftCvDSwdi9MzcL4ilk7PxcAVA9syum1E40+kjQyWYTDj4hJtaZBwsHuN
sjwX+y+NYKUU6DWZ5M3yMo24oI1GyekuS3WukBbippnM8YpxNX9QLH4/h6imgDaJedaHWZoY2a1b
pnm6nTu78Dd5i1vxJs4KPn0bEXon+tGE2RpljQzxxsyMvwIP6C7vCO0c3Lpp5Td8K12yDbyszkIz
9yO43r0xv1HChyV37OL7gBzFBtcMv7ADLdsaOdpwUSH2HqZoxL5W9zhly/noaqb5NXOT+IJzsH0b
irKjlg4M6QUyfgfF1Z/TQz66MyVQGghndnq6qx7T1nuM2/HFL9JxrYqas4oz1FtQRvLOSmkI7RLh
EiQpsJESNtj2vfJfhVk3OCBae/5q6PPH4HbRutG74kukNXjx2dSrdFHl+/bk8nObldvqpHAXdEWf
n1uysdYu4PD9OfRTk4euGNB3JLM0/eQSKGU8Rt2OJWxrrksP3W1jFgBIwa/GX/rWHr2tG9cwgHNP
WveRrPsINrkH57pT7kmZyyF8akBU3TsyCeY9CiarFV1m8YP0jPhDc6UBgj7JVUwI0k4eG9QMgLgl
h/bjbIx4UOM+URhfqC8H5YveOYzvY5wugHK+y5yAhUtRuQB3aETsEppR9bdtOyVXW8Ob21vjePEt
kuRZZx+i2E3v2OF1iGtz8aTNunfWaBZ5VaNT3VWaznkCeTkgZiInlt5NLm97QNHvBe77PW3pAzXA
4BNRkv38zUVpvUMYa1YcFYIr6cIewzq57ndh+t2zTLK0XjeU+lKtZnVRFkat5X/35VyDb+2G71Hc
D/TQBaUnH5VG37DCotuAs3fjGOeTnsrvie+iieLH1W+yvnfvy9Jwn/NBS3dJn5jeFuuOK8/UiqKf
FFO80SD+P5airkSosqH4NBHav/eeNrwMtdlV69qOg7Xr5BDFSGmxkU/Gub4S6LcuQqJJXiA72Y9Y
pev8XFTg0PeZUeKCFYnWcwrTY//FK+H1wX0Pxl2KkGseXSOzP0qt6e/cDFi+XhbyXCRtgieljTw0
ccP5OtOzek4m7qp0oE3iBcK/fgdJGAO+nOR4wUfWr314mHu4NRarMcc4xcJsDz3w8X4lbFGsOXDq
GveIkoI4EnA54oQ22RRiBrN6GmNDu4mKJp/RfBR+cfDlc3PJNfbtIMsJcHKXrCXkdD0oEBGo0yQf
hn6j2pG10mxZyrlrKPh4yRUVo9sS6a4HwdpH7KEoBE2PwXIyO/hR10YHjXxTs2fvy/OvFr5b3PWO
qU1X7Buxeachmk0cD9K23+IGQcRTljcRjIl56aimUmA20DL82olvZMMOaowjzkmhuZQcF0N/Z5hR
Io50Cjj6mSXMnG/0QKt8LHHlfVCOFR6LVJu6+wi6fPUlyp1wzDmgplC5VzSc65si45IP4pjqDMPt
Lxln0t3Q1sFjNObuXcrkIsKcpoHQHetkr9mztQ8cf1xXZmJCjTbzKwdavDOsDHYQH+JVgNFNrrVU
zWcV2X67KpSlnRJL8SlUEjMiX4i++Tb6bk0OewKB3Vn6jZqGZJ000T0CJLRkRQVV6xIqVrLqX3yj
q0/4tFAKFKS3TA1wf/XKFY+2I2KxYbop+ITL8TBPfl2dm5LmgJ1l24QFXLAWfKxV61hhhO+2vTVN
qV995VkXyqitJ3tAjdoRXyCwSvcgt+W8dXHdVgi9B82HnDQZfcLHPEEb2gRT1z2MVjoAf5n87Bib
s/jgMcfNMmoGZ1z1Q2yJPR7baEPxg0kQIg9Qw3V5O9vlbe0Z406xKuIcWGERL2bnXDbgiIvOOdWz
Y6EYtY/stzIDlSk6DZozv/HASB+EZ8qPCkfyrs5qgzpmS8sOsP1gjnGUqT+EQBAqSyc6CKkPe4kB
L9lWY+xhU08atvK6sggtQ7Na3JA8CHbDyNh+ceI22KlyMNl5jeN8zWz0kbqdym+Vmr61tZYh3xkJ
7nj6IB1c2dbiijNkzsLlh8PZv9EJMD78cGT/84nnp1iiNXboS1gCDnYpcWyzjsISILW/rbb8N7/G
p/TMpYMbJp3z0/m8n/OijCJtOACtRm+lrSIN8Yrb3t+8nD8qEMvLWT5fA0uGvvTdBj/9HiPQzBaY
X3eYu6J7S5cnPIl7TgRi8inuHqnC/JT9HC/k4xxG2l+/meYfZYjffj0Fsx5WEo/T7c8vE6Uq06rG
AvLfUI0QL4OA6efu1l6Gg35Q8s6vLWo1S3t6heMEnp9poteDx5npwv51zDDEWi6DR+Ey98/j7eih
1rtWPVZHXUcEZuPbYkHShkReVdNwqyq9OWIvFrOqc4K/4aH8+QVxEtbBZ/DGouQ6P9E6sIrF7Oq7
apGiQQGTExIV6IIEZD1rF2jR3MZ96zeX02/RvH/znfzzL7XoibKJvzKZYr756TvZEBuw+ywgg5qI
+Wx5tG7m7aveiGNCExcuoH+qE//mly1H+j8e+fll4H55gfwk2zb/eOQXgWUW0s+xks8JfMrG/BhJ
jeb62P7Nq/rzlQZCgTHEdwDYgQFa/vuP4liuDPY4SXFIutxsr7ZRRTw4CwOX6l+/op8KmJdvIYYk
m1MkYyIENO+nD00Qakud2ZGH1jbcU0wP1JpFfizOqB/UeGewUqiPgKkV8Mgb1DUb2ADe+oYT8iCK
P7pfp78Ki+e6bbpo3o+/zofNr7PiX/+pf3pPDNp4A/os+XbhtbJ+/ktZI7dN6SeHLI5171D5XXs7
liOHpf/490ADcX4zcznWUpv543vv1rGqhejiQxFxGFgDQilwshDPO/76e/5bFPwbURB3HHubhYT+
z0vvz42nTVe8fYvf5P+4bd4+PlX8o0j4rx/wu1Do/WJTSQoM0zJR/iAw/kMoDIxfuK/TR4tMx1i0
dGv/QycMfsEm6PL/NukytT0TnfJ3v57p/sLN2EcotJhRLcTp/yQwC3bnDzcNyr3BgXhQ69gxmXxx
f+WX/nAt40evpgTaxYHjvkjJLans6imMKmuL+ZPZcuxkus9lUXUrr1rc14lfdDUHtNhkvLHTDdpk
c5jjwiEoq9Mft+rHhP8Ff568Upce1CvhY+rasGITR5xk1MBxb9I3zaBb4qZ0nHyZC6fq1ZUIJevS
SNjVIe4LKFOCFN2G9lPvixoADhgtqubKr/oNlgIcYcRf36t5yrINffWsTQHHtERBTOHP4cym4i4w
cA3vR1xNc2iSwTP39UgZNbN7Ty9PTw3ZLbNMH61sEoV5ODmGuBQovndwJqpoldW9x6aJac0Ja61W
CVySXP8eJ3o5b5jGycHbtmbfF3Fk09ZICuqltqGtEjqKJqxBWntbpXjF1ZgXXegjFXUrq7H7tzhV
44H7a05gtnKTV/KsCh+yDRFkKHX9bhzcZj3kpnswDNI9VoHpZUW1i0mMjSqvx9Y1pxfgqst4zN4N
25leJnvT94DpWHOTwWSb0tzZVMuYaubGcBnGWTtZOduSeraT+cZK8s7AFVZaxqqxp1ps7aCyguee
PeVh4i5jEH3UCUTNBcd+vDCGxkJQcpNLDrVSDiPw8r5km3q2UFBTWsKw55NoXUAnsI8jt6peTEWC
Uk398mbFh66NWW0V6GX8GPvEva3e+xkOjKtBxR7HBC/ujavwfLjMmtcy6A+cao2IwdTuONa3if49
nWq2ohnE/wEKwKHUCORBWDNXTW1g2esU55opmm8AV2C/tBKHZZXdbpmHJ8ws1DcRVXQHGmqCznsA
O4hdRjPYzmpRcCT4h8qZRqg+vrixZP9sVhZJLRdGMN8P6i6cDyPPD0XfHIZRFDtN6vkOz7YZLg0/
Gwu83QXTYXF0+drcs7TSDu7YZ2Fq2bx1de3vqOJbioIXmxEobqHZIZX25IsjohyGri5YZ2kw6Fm8
yXjw+FTt+ANFUO7IeefPCXm+m97K0Af+L3dn1tw2sm3pv3Kj36HAlEjgofuBMyWKpEZLfkFIHjDP
M359f6BcVbZsV1ddRd+rbsaJE6eObJYIApm5917rW+0UMehkAyWp38wELahDZOdyacRNdi1LM9tD
GYZeHQmkBZyLpuwD1b3z4v4mqplqD4zUt3QGGN5KWZ7nlk+J6JBhL3sDCWkWPmdaaDDNwxzkTRor
6enuynIxSpkYgqkZUPq3LqAtrW4uC1qQBSlPcMjCQTS3sZ8f27yE+66O3awRGiVZ6NcH148rGB5D
zQiV8AGRoGEXOpb8cu4N7TUDdlRJUrlJ0/xL0wTHqNPqmXAJb4trZtQpo4BDXfOUebaCFoSfQH6O
0gdYhzmLkXFrttz/Q0KXOHE/x5q/1prUOcKhUL+UdO5mZZZf5BZiYq1DVUGpi3gT75RM64uGqfq8
6BS++RyBh4J2VyE2h+Z3jAPYcwU5x0askG4M1WgcsgoXJhaEFDkZk4ysn3dSonUdxPhAwa2twtAd
qfvNYm1Q7l3afkRekq10N6Tv3Fi1G57HIpEklsUtesZSLm2zN5foX9MrytdqibLUw9mTjPuxpqG0
GJJebHwGOLMIjGGzYDZtqHPTTD20BoWCp97Vh/sgrLPZYLjd3nGQEliRjJaOLwSVWPk1LwxjoWKp
OO8t11j5WucsQV4Fc8rW5CgAF5BHWYEiIDflOcvTdKVijefDdyI9mpgdiK5RQQnqLithjaoIHWph
f+gc3aMj3xLU892u+osDrSVe4RxsKOcQfMECSXXChhqvTjtZVhZ+iBZpa+tVWy9crUusRR1kw6Ei
ge2uy2qTNS4jd6szihG1B86827RQBthisfa58Qon3MEg1LRlVAsI37pFbFc5fftEW2lsU53aSXJj
JIrgJfjjBI+Orflb0SR2d+hJty5BPY4dEgUDG69UUwNdkGO14iIPRvtyHJvo6NsIZs0ip42L2sGo
ETzV1TOpQRO2xLc+RBWTGtyNA3EukjTfmVrw7jNXWt2l40bVFqXEsG5Y3y9GjN2rGAkX3pa238Cl
ds7piDAH1iGfGDH5iuCN6nuM8/nCojuHagvMJKCXuKTORjelgWhbyZ59q7YzOJWkbsytDgPshgaf
grCk1eBcrSX0RHj3ttpuSnUQyU6agb10SsRymJyVL1SFw3lV6eY2xmc7zks6UNdRZOXLPqvFIRkq
44gNkYF/NyxHg0ZZECAf19JxCpANteyQoPDH7qnYB1Fb4kOq5AaifruY13RxVphWgUuo4IRz1a9X
hmff+IIpZEV+ajhctE79xNxx3fjkd+mVau7z8LmFBeAomr3LNOg/AgzgAl5rde2rEciJjAvHeWOe
NurkjekYT6ZqEzwBs5nUk3A+G9me10p6rXdNsPfdhGaTaljHNvA3EnThlm0lgtBmxfelzDMXE5yB
AVs2kHmGvGqXOf7JGZ729CEciO5T9fy573wxL0uTNL+RgFqNe/OAsVC7CTzxSQLyvs58njwc9s2+
qkXlrRTbR5ZogzOixYdG1TtPW89JP8eDmT9AS6SJaEfSMdeEQIt9PuatzqIsRP/BGXutWSBNyp8G
KPaPCDTM8Ua4io7/lwyDYW4x03vUDM/f23ltoIBMrecudOUUgAdr0xOG8gwIqSIEymq7OcNLnHOK
GoA8Rd+pJ5hwDUOpPxmwyWeR7iQ3eso0YinBF69FbDP0LBqBFtAvGS80Tou0NfU+isT2rlWzNi/R
qHIiKDr2eXzeC8vsg6VlKfZtAUKNRpJhPXGqjSTbSe9pm04t4vOgKxRkjGTOqbTrlOgaaVLXzYHA
Gsi0Swau4IGm5AiTA0e1ZLHL6Tv06CM9VixyRcqxKeZQhb19UnsOl1MP2fYlIU/wlYvrgWHNB7YW
8wuqtWbD0Qvh3WBkJk7+IkS2SROSB6FJN/ngjKx+NpqhZQfR+t4SYXQZDZGxh7vRXnuh4zw0FVyp
IDEBsZWudz0qEUceQy3TG36N6FYbR77dImBrwqWhnlt21174hQnzQtA03PlRDJuldAqxJDK+WgLJ
eBzIETxnOIRXWB2i8DGuA/kwuN3XNm8ULJta2+K9TVf6ELB1dSIUa4gD/cfSwA45c3tCA2YVYZ5P
JL+2N9g2zAcM34gH9aTF2+ZVOr79gHjHDcg54+MYkbLLpqQ8WnUQXgea6zzlVdHfIg6EiYfRDTpK
yrxzOoWLjRmqLXNINcYtqmURyhdjtD41lhlucqWpAeNBk+yXooka9tUs8Lq52dfDR9UulX2nEpo9
SzGQOTM9dSOElGFxaTayW6j48j6rSYlMVK0r+wM8q7Im1gLQzUUW4UqZBbqKXq3pBpdQkj5I5rlS
Qu2o2Swep7b8jejw9ncuRkygFB468MaErme6KbHtDiexWdc61TmLXtUs1KHt40XmFoyoRd/pH+k9
DdGmNzv/GZ86klLa1O1lTlNqVqDWIngvktiybc7YDKMj72LoWV5WRlfLz8CetJ0L+uMcp3wZrWk7
jffwM/R8qdVatRFer9yllfCPtZXaz1mv1TetRgmFM1eZiqcIDX7peDyESRZCNbQL7pF5CbltR5yc
hnlJc6h/kH+BMag9lGU4wbxjLZzxtlYD5TCEPYu9VH0MNv0YK19rppGELSY6g4+qUsUeQyh0QJC/
7WVBDOTj6BvGM3rugQTLUC++DLVHB7iwmBbhRfAe0h5y3ioiwWXbUG981YO2RW9LlCYzzgBJYxHI
fukqLVMSrO/FvUYWSDdXUsyRYNZtACPoTJdOZA8+p4Oqh4Trj/VFVYbOAQqic831SfdYsDl1WlX5
mBSdtqRBnqZMEV09x5db5I9JndVYGe0aX5arBIIJTddvUWh2a3zcYbcIBXCxeQjK3ZuFeZ8dTDMP
Dk2ge5tCMaCudKZnbEpMsZgZZExD3gijWp/7gQk1LS1rHKBpgABfZPJOU7ThmTrGyGZhH0BPKNKB
2UjiBuW+HPoBdW9NQuFQdg+6qt60Sl3cMnsrUFxDxj+Qe65mxzbq/U076uKJYNxJjD3E9T7w9H5b
iC5a5r1ePeAPqL72HvyihdJl9k2mkmk4gvu5H7qYnShqpb9NSug981HaKPKIbsQXm+bKpZchTcE0
p6RbH/4ayELDvytbSz8fUoPZZURKe7h2UHJQapd2t08dvzxIuyfexi9GEr2hXQlpVltptfaj1NT+
puS4BVSKcN4tpZLlrbTeiLckVCXlqi6GZDE23J0kgw6ZPBQadNKFSudkPtot2pyiM56QqZdb8rqz
vapFPXJeOdCKLrEAU0/mnMB80H3ezCngXSlll+B4Ft0nCXHms5fHyjCDXgMeJmjwmMwG1oknylmG
OZTwcq4Lq1i0qQKJqEcPx7EoHO69LkRjwCVmdOo4eUgtPTX9FpOEFzEGD/aAioB5uyLtAjNEUzPf
iUONxPQeZKYaG6m39si6niFYKi5t/B9rELdTunLTP+SZ4UaHREks7uFyWjfzABktKgrWIwg4dXLM
o5JTQEslHKz7whw4X8hskuRxKmLyr2dLso06bubYGZF2196nsRyNiwoCibokEQ19qgMoxUM8Y5Ok
GcaFOjM6dxjOuxiZ6daWDhZJ18yGj7nDsU0FMHDXF07xRUSdvVUVJ/0gROTfO2nbIHnX1W7dqYq2
zTRwg5bVIw5Ifazg8E2+wp8aqIgJFSEaNknjfl5Udgu+wa0I4hDKmi2pWAAvpY5TKcYSXVLmezRT
MAVL8ckkSWpKvczF7eho5GLoFJGeY51LqN+rIQZkmVbOeNP2g7pHyGIuQNtkM8et+mEe9GF2XVmO
+ykbc9KkRFncxCig2LOrCupLVivUi7URXI80pcBI+/EH01HafRyZ/W2Wy5S0hJE2PddaPQSS/Akn
zd3LKlbFecsDfzvUHP1LJR42nuyD+RD06dfMlulBAPe55bbnJBya5xrMx22vufUDdk/zIrE02BEM
+ze+MABceeTcJrWRrnWMnZUUN5zJy6tOYkVlsAMdHy7KBnWF9ajyzT2jnvOIMFPFqg3McuGOWrTL
mzQ4VnKY06ZCq1yhbZp1On0GVPPeV5gDdy6RGAAF8mVSxgYZFGh7MurM5WCIclfn9aPTjmRIM5Zc
O75TLmHRkmkNoGsGVBI+QO0AX8zRLFXBJw1F0dStiNDSM4KtDRQNQm/Odd8NNpZXxxeuHeL6T308
nVoffyQrJ70cTYxKDqY7fsm42oB3rzcQjuVCqW24bCpoXRmYxoKUDidj8/z7Mu4nZrgqTCKcMKmZ
GqMQ7QTt+67HqLD8otHJ5FZHScCxczql2Ubm7cEcmd1ccAsNczjd2ixvjHwVDY3cdonh/h/DGSd9
5XcjErqdyIg1k+a5xSNOk/7VUI0ZAHGrmuy3A+axsK3qZ8CR3XiVt6ZTHWwIMdYRB4aEszkm3XU7
ZNR/5LHX4GFbnm/fbO+7Xhf0ySDRgI4KHfpnBpS94skSozQXZqWIDwUZtUeQ01x5y4gf7EIhC/PU
kEu6VnuWaZ+mc52q8QPtD2XV17Vxo7ed8qn0MRxHDWok5MmNnPmFFzzUgTHlNrbmpaMGNAXsVv2A
f40bhbnxVZFZob2gE+ssh1GNLgjmLhfGkBkcJAzv0BFKO0fUhNMLOcQFyTvGZRN7bIepiFdGHz/o
RqZe1bp3Ljv05PrUtJRT+xKoFp3Mtq9ZIRUU8/6SlisolFPb0zu1QCXYx6/5qTGqm4X8LG3LPvYi
Kq9Hb9Q+4O4qCiZtnPKJ8OXA3tei0ReeZwebALzonYNMPZhjTuB0r51O+s7p1N+fKoAAs9wnkZas
nWprH8JTnaBhV9igLehRZxaOjp9jKifoJllPAXDYmcDXvFVc/c4TQ7PNUcORGUUnNBoHgfcNBQw0
b2oWbMWUL/ZUySRTTUMENf841Tmu39f+EnBachNmA8n2WkdFNNVG9lQl+T5KgzJPxJohOD3KqSMK
ZpHKCqkBRRYYETkLp8oLTZ2x16dqbFBobxdkuA9YWRrKtdxh8H9jiSp6hGyWPwlJCgwKwdroP6AG
5CIhUxP7eqS+XHemRS+cRnr+AKrCSj8rPtrAJbYI72ttNFlx/PvnFX3u68eEQSlTCV3ozCeYlr4a
ZjUpfgwS3ZttwFnrMld6b5d1ARSQEg5Emqj2trDLpJu7TeYu+zI72HHm7vw+I15Vsbr+3Kq9gm7a
qHiTwjTNZ4hq8Z07BZ4Ikz7pAyzsnJkhus8bfGPgUnTMH94QdEtL9gdiOA4dScITMUtrdxpDzZqB
Qu9+wlhsrKwgt7ZowaIrFNWYYnorPDcs7SY3fII+3CMyK6KLXQ8gtOGuNNW74Rk39gTaXlKYIUVR
TBUjdKAKhSjAsWHLLmxr4weFIJHe4oDK3qFu2lzGRwvx7NHINFSCGWqRW4IZUiR+IaLGvkGTkxlZ
R+9tiKo9i0txtLGGripOMvVC0FvucPwZTrsUfRydj4WKiKXRsGRQgOfpZ9lU6HAju+EgKeqjjo/8
fvQ6d5EZ8N0g78dQxnpSibVYuo8+U4XHXgyIVbokK1duHfnrgBDriF3XlMwswnoVygEAly145Ey4
Iny+0iLwMAnbzwmcOLavRnXXVMKMDfvKGaYYFCI4ZrLBfGappXvlto7/nGimu66lFywRairXPZ0R
OgVoovtAtOdxiKEMdaa2p7U4cldy6IxDp78gQkaBZhXnS96uhp5sp9doV+1J0pkXd+rg8gQg6kJB
UE8m87z1Vxa+OCIjRbsaZFE/troW3Cp+pd8XoE02RMWq/jxrC5YmCAJXY1V7i5K4hwumxSROAFxZ
ZswayErz5VH6WniXgmhiFfUduIOEr5rngaGaMUWM5e5Qh6v4bH2V59oJjV2eZDfIunOw+DQorNNO
RPSBeYXHHRcU/p2E9o7auChu09o+gihrDFgGDJG00zxJQ9Q1zt3TnEmdRk4lXd0R4vM0iXKrmKmU
EwxhtLRS/Vk7Ta0c5lf6aZJVQdJdNXon7+PTpCvVFUUg5e6oPgNW73TB6pY/enT3gg0+BM3bj3mu
oVhgH/sMraLHU9frNlrAadoWTrhnyEM9/01lYFiXGKjLbRmP4bLrhLYt9KLmXF0wq541zkirqXbI
TN2EtoWMbKCBIRYl1pcLozE4TwCfo6fbT+3dSGgPGFIIvqm9W0CKD0E5PSB6yGQIyX/hjhj0Wkeu
ci1rpt+6WgkmpRe9z4ioUjKxyaOh+leCB3ZzqXGwYJECNGIQ6/BK8KDSmY9oicqt4xGt7hyKqNzl
7dVpNfxXg/Df4p1/oNDcZgn/OSGe/0Q+v0Ce//zH90GA5sLrU4bMd9vCTzPuxVPylP7HU/r5PyjB
Xs23v/3ll/m21M+cya6kkS1hcdL7ywgj1TPilogP4KwlTYtB9l8DbvWMn0idJFYIDqTo8rv8MeBW
zwxaTEzFoYXRsKbn/wcL+9vIgIv4WwGO82q+bZIQw43BDJpzH8oMlX/R93qJvFQKTH6audTC4Gsj
rb0sxTq3nNvQxQynImyLByK3WsW9pWK/ykfrUZYe3IWPfoeLRVO8Cxw091FjrQlKXGmKsgx3pMCe
1x1aSBkvPbe99Dv1vtA528NjREq5Dkckm/k8892lGYNaKhHz2yva9csQ6mcclhsO5NvIMq6sUuzx
tKy7wrwyXY2YLfBg3nPv+ashd4jaK25sJb8Ze0KzLdpcPn4IZhRx/TzGN8OEBknozE5sBUz/Mrcp
aZKdlpv71Ozvc4Mopjo9IihY5sOwjhMLf2gNet69RZWK+8M1byvL25RdeEhc7P7SdxLa3uVmhMaL
ti2+qj25MXLUzqz7H+vSIfO9fAhNLpmnmmvDtbbsP0s26E/szIsiT3ZmGC+/u/N+MQd6fR55+RKn
MwkndiKt7FdjoCEp9cqHJUiKd7GgR3aKSvO64iCG4SBLMNW+H82jUS6VBrss38zf/wKTL+z7ugEx
BjIuTFuWsKSJJumVjisoHJsmDKJSBbBEngc7uylXPbjYWTsIDpe+fjDdyFqjMTqGxXjfpgE4ZU0o
28QiVljOvgx0alajVVpzVPAgBTQ3WbrZuOtj+ERFFM0t2wM9B7AkIdqWvT9OFmuqJjaykgxSMqOX
neHQDoktZJqu2LgObYmeSTuzKzaESv800EpAhDleNWqwHivSC3j2PhiFfuFKlOlhc5HSZTzPkGxf
/N9aI3+7kk7r8btcJg3se7+XAl1+8dABPQ1PPy+R01/8JgHScQSqiOkR+jCU/W6JtB3oWwIAvobM
8ttP/tAAYTC08JIjbrExcP8AzRdnKmo4vH0EvzsE7cp/s0Tqxqu7m3wXddpHEa/ZDFkBIv24Rjau
XyNFQRFfOqXpbXRIypP1ekSUrDmBj4wQeVltUcFtYVk1NybSZW9pdVo4rphGGnfFpHUGDTHJnl8k
0Cc5tDhJo5NJJe1MQhS361Q6bApHXQMysTGXJ3G1eRJaVyfRtXoSYKuTFnuYVNniJNC2XU4dleBG
Z6GO63nTaJiUJ1W33cjmITf7eJaGtrPUJvV3kdrXKjGHTBvV/TApxBmFIxaPJt148SIhP8nJ+bAo
CfEXgJQ0tXGHOyaPF92kQieigfCWSZkumxKQxqRWdyfduidQsA/BgNrGJPw2VYYe5Uo8WFcIt51b
lgn070jtL3Mb0Xs4JGDCJ528QZYkhnscAbpvYRAAI3Pfoo5HWn+S2RcI7tH8Ir3vSA1NMKXTUtnp
J3l+Nyn1izamMQ0v2PR2RVCH3dqFgQVf8yTyd/BleItKc6exmDIZARh7YQrwtMkgELeMTa9GIqKH
Q3kyEWgnQwHBcW65iUKYSls/t7Vx2zD+DM+hWzh0gzBStcumobGxMlo/fmghi4grura1DlEXsDL9
ZfI65nqjR/Dax6ptVq5VtWtZY5JUs9yT8yRPHJzmjXYv8FuUxLJ43pT1+NWhXGiUrjjqKRxmcCxs
xwZGd8Dm7QNduB6Oh3skpcmaWUUHVbHuE+fSwCSXDEVwhUFHXaHwT4BzuSHxyYJmaGWm1WcjaSGa
6IoPzhAGibaIM7VYMLm2bwXwKUo+mVnDIglq+ybWlGHXEQ02Z1IpJhMxvvcI8ndjMEahF+aviYeC
Ky/hSeG/8ZZqYJ835TA1W7Tx1mWQsGqLTJxTJxoYHpU1kxL14NnNHG5EdQNpm+6AZlUHxdPcVRd1
XsJhHY8W0gKQAxlG3WRWUB1760zp4p1g+0PbYZQIPuJkVxYm1ns6mdiV4GVfZKrB8EPVswEbPukn
28GLunyWuQ2wE82axfDytoyVooNju+1jzXfrzrzMBezEPGLw6LT3PSm0SkfRW07dz0Te90GQXBVD
ts7osC8LRx3vqReDz/SmumVpy/wmabxqLf0m5LqHcLlBtT1Kp0YcoIzNZV4PX/AU5zCNBj1ZAn2p
N5EShiuLFJrogSrYuumyARUQ2Af5MR8YkS3VxAJWRN97BYWpWQRorZaY2ZqlaItmpRZlsUa41OGy
ElTLmhGt4j5kYyy9eAM79RzIiwUFJukvOd40D65a4XKpvPjoOUZxPkE4zovBdw6eUbhPJJS69cuh
4F8VBr8+8n+/lf2v3+54P/yp/4cIli/Vw9Ra/f22uH/y2BUnEMFLJM328//8H3/9vW+7ojjT6ZRO
ByoJTVxYHN1fomScKUpGt0wQsSrgB27pvwoH64xdD1OCY+kmW6rJUfCPwkGcQYghDpIAGovHBNHs
q0Lh7woH/aSk/ktOP/WK4RfSsMRBD1IVCMSPu+JoV7ra0rTdDoGB5lA+eTJwZkFQJnvfHNxdEDdi
kSrJXZZH1kJEmBwKtY+felPIy9CutFmPpykUJJzTvT9SkPszDKN35CU4i7h0OEI3Uxj0APO4i8z2
qqV1wOiARx8ObXxT+STbhk5ZbmzffKRZPdcr63KomE/bgvafDBFhte5Vo4CkRQ21xMhcMusk78V3
7RUDwskBJ3aJMVhPMtAA5UfOssrQkEa2M15CdEnmdVcnABqHSbNTbRDrdCswg3i7Qns1wqX32LNA
BBcJMpxek4vGKwFR0eYofHPDN/i50yVpD8mO1Wc5VPp1kIgLHEkemwK43kz/KrSgP1d8NyTjL7LH
te6XNwHX9pAFCb7SUcnXdBDuALPMLKXbNYKL6dS5sQsHPnJgRHszrdeFgqAizYtLXP0VUKQsWQd9
/SnXh3Hv3lcOh+yqiJ2VXzTnpubHtFxr5BvDAsEK2Q4LckvNYq7Z6dcaMNXCsQgEBEOHiww8Xnhb
OB4bYKKjp0e20hJMjamDzvEYbnC/XSm6aMkzq/q7JhgFcP9kmTd6vwBazeAPwRPwRKDfmeffkMZ2
DUrs2RWDRHlhxixvAybGLDEPgpnNLKarh/0ZPSm24HBt18RlQcwUWx2N1q2RZNdGhHdyRr+jWcAs
HkilcPEjV1Wdr2sl9A69dYm06g4USb0eQys9dqUCZKttLynJDpjuQXtbH7x4oCeX029renMdduXO
K6utAsJJHb0PndeVF4hzBjEEfFXVvizrr1F6Q6s+X7QUYhsh83g+JKSuMPww+3auYmqcFY6hzN0e
Q3yuF/uhVQFQUykO2MQ4D6yyYtj2FWFCyT1t7X6GD1FZ9Nb07w63hYrbOs7VO9I+QIMNrUCUirhr
lfpgp1HEaWuIx7NUaE8mk/8LgFBf6SpeTtgTU03OpVscjdpGSRcuEIhcl6OvPbZIB9RZkJFYgYv7
xrEIZHbxpM/0QYq5kZTKAeGDOCI6QAbsIAlNia1kuFE0FzUjh3peDcI6xhDMzg23Gi5Cs7SfmFeC
xWhSwF+c3LcEBzTbOCQ5IjS8aWzQVMHO130VIKRXbgY6BreV5OjFrVptmacMjzSEs/lQdNnRt4x2
K2Uaf4wGVzLz57QRA36c0wHG0wLl6iJHqrHSrK5b1WQVbRtl7C+T1kxuxzrob+08ac5DhDR3QOyq
VdEyeZqVuVM+1SAmFoXmt3vG7uLSEWa+i1q7u0L2auyFNjbntVpqj1oYN0vpoZDrgRheINeNtqXv
iAOxCP4Xw+w5j1TJUH4mrS7pEBNy1WmLB5dhDnRSuHF9EbtA8unDtuoRqpV63RltsddcXdslgMXv
OA05l4XDQJNbRe7IZ1F3CRxg8n5oKM6bJAfTA4t07/ABFz6u6asQDF26+W6X+UWnAG/cD5W6bdoO
seaGZBewqY3Aq/24akcR/E2jGhmme168z80ya7cYRqs9tNF00bgq1lOt4/Cko6XTOmAhHaIo+vMM
ZM26ubPaSlnFBkfAVoaTzLXSCBNi3IX53IGLZwYewruGnKog88TRStXwolaTvXQtsmMLZzzmloZn
0rXjy8FjWseddCcQIFBiOGID+Q8SnFaJmT+IW05g/qwBfHmwGo8YbUAG7m3edbqydpDWwtWVYwH2
KuWNIcv6DlJOVEuELJJ2Ocfk2vZrFWp+uGxRDTwioQNrW7QegNhRS+/A+dmPFZO9KgbIrOj2dSOn
hIc6nQ+GtchT2GJFLYHnqDH5fEm6UwzP3AwJquumMa7zvt75eXnjlhJHcKbWWDsEMnkIXmPqBsuI
Q/jMUOh/yy4cONwlF4AJ2wu3zHYy4PEPgoFROaLHDsLvPOTcvIQCCJ2ks7xPfis6xHqduVJQtcxS
CbMxo1POGqPFK+lH4TXdOG8Bkz3ZN2MnJ4MFt9IouatGatodtgy5gwtf7QKhOJeNgOPoq56+8wKr
2Ec0da4xsatHP8JoOSfuvr7gu+6xm1vBZacyV2dWzf1uE1r+meC01pwZ0vC/wJJM533p9qtyelKG
6Zmxp6dHn56jZnqi4spG+wWTZR8hgLrKi6CAD5eyP/tVy1ybrTK1yuoJKQ0imMYxEV1NT7AzPcvq
9FRDl0pviUjsLyn0vW3eGt2qmNYBci9x/I6ddZGbWTRvi3S6Dwr7BnVD/DGYVpNxWlcIRsnm5rTW
iGnVqaf1Z5xWomBakyglyYSztWCXehZLVk/87IfSHpttGCVTqnXnXcR148Nis+ynMNaHi9xVcGYy
Tj36icPC6PCnLziAWJ8sFEnrPrTqVZsH1pE/rRwaMLpzUBzmMghwPs6HZoAqpLol6L1qdDihRECS
qpXtRLTJdEqvjpEbVmSahL01AVuMciC320/afSpD4NmigDIykmwzLnSH7IYN+nRk8oCAvfwD5s4y
4W0iQCVhakT1JjsBTDBjewCaK/QYs6a2CRgw4pTiqCwCB6Yk6B8T6L2PG96BQuctk1GM7NeMrVQ0
zVZCxyINSQkqauNgwE68tL1eXBEuoK2mhL1lSazodTWWsC6NE4qlsPw4XirgdJh/hpmDPDx3n4Ec
whCGzGIRKiJHX1k2J8RLiwwJ2i7L5sMYx/BfMErBguFcCRemL7VC22Gy1a8j5jJFnhZX0h3wLoVh
h+F6yOe1nm4qYavM9eq7ut1ZI7HynqteQi7LL00YQTOdwGL0L0TCRGXgzlUJ5ERzaRzmjgcCMyOh
wDAlCKg2/EiIabcawu6TlhrF3C4NTC2DfnRRdO2zmmcUXd5zIJ8xFDjntImxBshBX7Q124CRFcT9
QdGR0HSwf1yHE16nh7NDzI678Wkgzb2EaT0xivKCdpG1YSqcgPQzzqGAXiMdZc8LNGOnsP8v1TH/
FE9AH74jhHwT5Kf0uyPb+d04sX8Ewsxt1YztDNLmeIGGpKPXkdX3mq3CeNGK4auTYRKbN15GdkyF
szMknjuQ3osL4f+bOu/bB/llUOifFc/002MWpPVttnwdNfqP/tAfpdSv3+ifJY9KNncM7d9t6X++
2yn59O/eJX4iILX5DM9N088IQFB1W6X2YyX2vv3/jn5G9Kdu0RejaTq9Tv+i7y7P7y7A33+2n/NY
f36fv/vN/6qAmdBOvdUfyubTe/2LT4//k7KYyZjGNZheHIC+uwi2ekY7mZmoPXWOeb1c7Xd0Eb4N
H996FxhMEAGMoCybboafroO0zqYKHnICDMXpxb3Cdf+vvw6fsiatS0J9vSBLf2iHTEfTf3IrvHqH
vx4EXT+bvmiM/j8+CNI5TVBNHdPx6fXSqvmv/+y/JS/i5v8pBOXfPgiGwZ2OSomR7ss3zOP+3YMg
6QYxsbOsP3787i6CoSJt/We3wKsL+d0tQLKyVFWDcdCvLoJtnyGAobXlIE6fXu/uIugIN1jB/slz
8NuLoGlnNOk02n7fPuWPSyKPA1FoYI3Nl2swrZj/LUvBqw/w176AFINvEIEEjUv+hw525Y2XhIfD
YaG1p6/+5fXjw8FtYwsN3cy3a/L+dgmm7Ihz33RfGNrLVsmX//LNv7ov5BnXG7YvCpXT6x0+HPgP
33oREOGYCGzkpI76cX0ES2EyYP52UHg5mLyjTWISnr58JS9qn//UWXECaZAJb1Drn16vbgGLTYLs
eWSuLy8QHO9radCQLdmsXG89NnJcgibFIgM/+/TiDb+/G5wzBAUTzvi9XghIWG9dFDk6c16EngOL
6eX1wzWY6gddcqP88US8v0XREPZbnwjdYUpmE/XGrf79DcC1YZ7GhvBeF8NvdcNbNwXdPgMoYDAo
/HXdIM+0aVlkd3y5Rd7fpsBB5q2bAk+CsJFrIot8WRZf7Q0GewYYMYtIwNPr/S2LSJXevBxQQBg2
FSLts1/tDfaZDkoZKeq3i/D+loNve8ObL4R2xr7AN85O+YsLYetnDDtZGVXukve1O0rOR5z633hE
oo62HPTBHJF+9fklmC4IOXRcCNCcXu9uSZgug6W/dWXUxNQ20MkT/uX2KM0zVeiEcdBWOL3e36KA
AVkyoHnr7cBRSWeIyB754xZpcFgk0AFpyctt8t/VUvptHYmS9LVY9d92VbgJWBAFJ6RfNhSopWGB
Ujj8UVe+x0VxAu1NgS1vKh6nXFz6Jchrfzopqyqxu8zSXx6Dd1c30QjR3rolaOYZGAAai79ZEqmb
6L3Rxnu3XWa0Ry/P5xuKR/XMPOFv5auFwCJomdoU5OjLQvDu9kXEc9bL8vyGT68RcANOVrVfPQD0
FCccF1bq93YcQAn/E7jzXy+AHIYQ2/O9v/rYbH9TmM8J0/m+TkHs2G8+AokznmeKHoFPf3r92Cex
+THugEmR+e6+82+H4LdufLoBV5V6CK7qn+v6d/UxVwBIKi0U9KCn17vb/HVMSm/d9HSmh7SiTYh7
L5/yx5mKbZ7RSqSFon7rpr3HIyC6358sO/92EdD5tmkVaRwmf3UdAPfqQHFsioI/f/zOloSpWnnj
CYgnwma6NnWIfzgH24SYSc1hb/j24d/jXcDW9eatQGdK4iABh4Twsiiy+H23JDhT85h6g5Xx5fXu
6sJvivu3HgZ1DoNIF6bZ1J+3+/fXgfuEvUMybP/zx+/raeA6YDH4Vrf/509EPBCGysdUJ7j79xdg
Ep5YKtP2byXB+yuKTobvnywb/3pZnCyJms047Y9H/8frwPZg0VBDePHyen8HxJcb4c0PhPG/Wbua
3rZhGPpXfNpxwIAdBgwo0K7AsrbJhi3DzmwkVIo/Usj2huzX78mSbNN2lmzssanzSFGOJJKP1GsU
u/t0Ld8fsS8ghuRL3mOE4B9WxgsSbz1PC63qCtXRuKyuO+5Q4CidfSARneYA4zodEFPYg1tcoxmg
Q8ra/33FghAdr2b0z8Sz6eTEr8cBzkUzWWlU6cOV1Y7czqDABvyvY1RzQyWIYNeVMo4We/B3gZBB
odkloH1o4K/4J+7/7DTxo/o/2BtryI2ZQOH8LtV2Re5IFY2B34R8kRjZlqdvOwh5eqmIOyrLNntF
5fP77J5qU1pmocgXkkq5J1eBB5lzI4VwiRgb72kxAe5CEFLgB8prQ+qX1s9sboOvK0VfkzLH5d9Q
SLFIBXxWFuqPNY+OihT4S6vandHOHRl44BPJwas9PXLgjoshBf5Ke6obQ4wK6LlJODNIsb/ZPLfs
wuJIMZMCb6m0RbYh1SYlfT1nDDJJwb83DbmlRTyyZaX4P3TdZDe6QkEq0z54SFL0NWExx4LVOPaO
R+6KFP1juwd6M9a7T3mJsQ9M4z6HJMXFrty3DtrY3eERs/up9sXANR9H5IKL5V14GY9w117b3wfH
rwMf3ArpGLa4Q63lb1AEx1FVCn5LCqck2B+/4CdMxop+6sIm3FiZHRNnUlln6r6lc0CVt9NEdR/w
eQEznevkItT9VhdmanRo/hZZW6nRL2nVJdT+A3YsZfH2mKTuUNH/ElsXumZS09h6JmGgOEit1O0z
lPuBsDEMBDuphDtsBSfx4SlK8bcaq+jT9IwPhzzmO6X4D6Rgn6Snn+BFYrJUzPJ6lF37VnP9zjFp
Ogd3G3Skd2hbh9wzyl/QcC7pecoRW/I3+wKQuReaqnyWvsZdbP/ErtDkrv4AAAD//w==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Aptos Narrow" panose="02110004020202020204"/>
          </a:endParaRPr>
        </a:p>
      </cx:txPr>
    </cx:legend>
  </cx:chart>
  <cx:spPr>
    <a:solidFill>
      <a:srgbClr val="720F35"/>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a:pPr>
            <a:r>
              <a:rPr lang="en-US" sz="1800">
                <a:solidFill>
                  <a:schemeClr val="bg1"/>
                </a:solidFill>
              </a:rPr>
              <a:t>INDIA REGIONAL MAP</a:t>
            </a:r>
            <a:endParaRPr lang="en-US" sz="1800" b="0" i="0" u="none" strike="noStrike" baseline="0">
              <a:solidFill>
                <a:schemeClr val="bg1"/>
              </a:solidFill>
              <a:latin typeface="Aptos Narrow" panose="02110004020202020204"/>
            </a:endParaRPr>
          </a:p>
        </cx:rich>
      </cx:tx>
    </cx:title>
    <cx:plotArea>
      <cx:plotAreaRegion>
        <cx:plotSurface>
          <cx:spPr>
            <a:solidFill>
              <a:srgbClr val="720F35"/>
            </a:solidFill>
          </cx:spPr>
        </cx:plotSurface>
        <cx:series layoutId="regionMap" uniqueId="{238EA3F5-2D33-45DA-8D14-3B86241FC498}">
          <cx:tx>
            <cx:txData>
              <cx:f>_xlchart.v5.10</cx:f>
              <cx:v>MAP VALUE</cx:v>
            </cx:txData>
          </cx:tx>
          <cx:dataId val="0"/>
          <cx:layoutPr>
            <cx:regionLabelLayout val="none"/>
            <cx:geography cultureLanguage="en-US" cultureRegion="IN" attribution="Powered by Bing">
              <cx:geoCache provider="{E9337A44-BEBE-4D9F-B70C-5C5E7DAFC167}">
                <cx:binary>1H1bU9w62u5fSeViX22zZEnWYfasqVp2N24IECDkeOPqBOLzUZZPv/57O0DSrWkCy8O3a+iaqlmh
kfxaj573LPHPb8M/vmU36+bVkGeF+se34c/XUdtW//jjD/UtusnX6iCPvzWlKr+3B9/K/I/y+/f4
280f1826j4vwD4xs+se3aN20N8Prf/0TZgtvypPy27qNy+JC3zTj5Y3SWat+893er16tr/O4WMSq
beJvrf3n65P19TqNXr+6Kdq4Ha/G6ubP1zu/8/rVH+ZM//bUVxkI1uprGEvIgbSRLbCk8vbz+lVW
FuHd15wfOMKxKUUU/fiQ+0efrXMY/rg4P4RZX183N0rB2/z4/1/jdkSHH//1+tW3UhftZsFCWLs/
Xx8V1/H69atYld7tF165kfvo7MeL/rG71P/6p/EDeHXjJ1tomOv02Ff/Bsb7tl03AMe6uL5flmdA
BB3YBCPMGLsFROwiIg8wcgiW4g4v5/7Rt4g8Uab9sOwMNrB5/+ZFYfNXcb3O18UrwObVWfyt/Ark
PlIZ/FPdL9h/jpWNDxjQAgtEd0CS+EAQGzNB0E9W3TL2FqSZwu0H7beTGSD+BbR5QQQ7Xue5/gHh
m7WK8rh5PuhA8TmMS8dB9k+IthWfc2AjDhy8/5rdP/oWwVvJ/s86r/7fqyfIth+5vZMYiB2/LNod
gxF8ZoWIyQFzmA0aj+xTiMIBICmoTHanEYGK21x7kkQP4PPrZUxUVi+KR6s4X4N7kr06b9bXN+o5
/Qf7QGLiMCbwrYNg7yhC8B8wYdgmTNx+bdDo7wi2H6N/n8GAanX+oqA610Wy/nq/hf9zE0XQgaBY
SE7xLjLOAbUdyon8xapt2jwux3487scZKJy7LwqFq3UeZ6/O1tf6+ZCw7QNkMxshYXh04oAijsCr
4/cPu7UxTxNiPwzbYw0orl6WD+Bt3Os4XDfPqbXQAceSOFRs3Df4GFqLHXCBHJs7/NbiGCblaSLt
B2Z7rAGM98KMyroZ1wXEZrdq4z9XVVge2FLYkkJIs+2KsQNCEYYQ9AEb8rgc+6FY3Q80cFhdvihd
tbjJovgZURAHjBIiEfi++7jBD+yN3YCswC03DIv+qDT7sbgbZiCxOPmvRmJ/JLVNh53f+JupGYwP
iIMFpXg3uOTygDBCKMbyFiADgbuMycNi7EfgbtiOxP/d6ZerGwjnw2dVQTY/ACXDHGkbNloeICQF
lc5dmgy+3vaWniTK/nXfGmrs/iv/v3r370gLqcnLdbJWLVjr+6V5BovAIP1IIbqw76ILw4cl4NtK
0FTyThcZubAnSbQfla2hO+8Jr3n8olD5kdJ7/rgPs9u4zwZ/do+VEAiCcrZRX3fRhZE3frJU+9Ex
hhsIvX9ZEd9fSq3zZ+UMOLZEgArbl9japCYxdyS6j/sMZB6VZj8id8MMJP5696K4crq+jsb1/wJZ
INdIBIQTzp0Ha4Qb4gALIcGm36kxA5Kni7UfG3O8AdLpy6KLF0Xrto3V80aE2D6AisvGwO/NYwl8
gKgNvEFggbYN/1Ol2Y/M7mgDF+/qhZEHsqWQpW+bZwwJbXlAARFBQGHtMTOcQZZeSILvi5eGA3C6
fpJM+8HZGWxgc/qyQnVfJ4BNe791n8Exg8KXxMyGrOJeXOwDR3LEIFLcGyQ+QZ79mPwcaODhvyyn
7M1Ns86ekybogFIpOOdGqMggtSgwlEfuYnlDez0ux34Y7scZKLz57w7Xd6SFgMUvnxMCZxOVYyIh
13772U1i0QPkYCYZRO0/PoamekSW/TD8GLTzVvBSf70oq3HVxJV+TosB1UJOHQRFKbkDgLTh55hD
IepOYxkAPEGQ/SD8HGgAcfWysohvr2MVPSMfMESANkGUgunewwdBD6AqBXEKujPsBhyPi7Mfjftx
BhhvXxYY5/paQ99Z04zPZ7Kh/CQkthmG5qJ9rpQ84MANDnn2n19vO7pPE2k/KNtjDWDOP78odbVY
Q8vfbU/RGgKQV6t1d5PFP36w+NlutIj188EGPILWB0yhLLKjzzgB1xdR7PA7OOHrbbwekBSahV49
WdL9aD59ZgPrxctymmGpIgD72VsmbOcAMgEOpGd+NYdtl7vkgWQO1ObvOzKNbMDTxdoPnzneAOmv
l5UNeLNuinW7Tp/Rctn0gNvALCi8/NSE2/hAzAmNY7YDNbIfHwOfJ0m0H5qtoQYqb16WV3eyTsGZ
uO5vbqp7rfSfx5xgwDBnwAqzfwJca4olE9zwIZ4oxX4sdgYbaJwsXpTRcmPIgjwfDtg5gP0P9V+H
7OMH9OMxJBmj0gg2HxVjPxB3wwwI3Jfl0L2L0zR+ziQ/9OVzhAh0De31rqGliEOHC2BwC5FRIn5c
nP1Y3I8zwHj3snpUP96o9pV7A6Xj7BlZAbVIaCbe9NPt+GmCH0huS2j8ugPKUFJPFGY/HjuDDVA+
ui9KSf3V6OJ/qUcVA1kkgYqYc1esBMW0ZdDlJonMCQetdfsxyPK3JNuP054pDLT+eln67HRdbPI2
z0gfcLoIZZBCu0dhFyNgF9gcDj15P/XddrTzBHn2I/NzoIHH6ctqkjy9CaG9ez0+oxsMZt6BQrJN
QKXdfnYR2XhjkDGALP/Pr3cQeYpED2Dya6iJystKMJ/GU9k8a22fHBAEJEBktz3px3kjhqAh7K4Q
ZsQkTxDkASju38AE4suLMi5nkKzZHP16Rn3FDqC8JSCZfG/Xd9kB6U0GFX9oI779GK3dTxFoPyK/
RhqQnP1/5sbD5yp/njddQGS+/HFQdeto5e+//fHScHjWGHqX2tobRN5qnaPrP1/DQVYEXi+s9c8z
sJt5dvJiP9P1+4bdQAPbn6+BTQSOE0FrE3QvCUo2cWUPPiN8Yx/Ym9oCYLspfgL+r18VZdNGf77G
9MCBlidHMhgioBIEX6lS//gKQ68UUFNAEwjUsuEAwM8zwudlNoZl8XNN7v79qtD5eRkXrfrzNWX2
61fV7e9tXhK2FJhJCg26lDHsMLlpXq++rS/hIDL8uv1/qyK1rJHaekUDOno6bbFr9WKVd3nm2nL4
JJgM3W6IMs9R6ehPJZxaxvhjIsSnnGfoMqhFvXTq/rodY+6mba6X7cD0wrJsyx3auniXVki94V2Y
uKUYi8XU2cqd6uSCVVa66HEXrQplCTcMqzNepdhV8Rgtx9L5VMqqPmR6vCwpusmr7Nwei3SRhY7y
CplQd0qtaxqSM5I12HVKq/4SlXXoOqwbVu04MhfWMICnht2XWGUraypPmizpIrftc+7mLDwPrUAu
YuxYS1SPoWuTpDipBCdv2oROx5VVsZOoCPjgVpzmvYuy8UMgwysUp+s+aj6lqM0yt2vH6dSCOtIy
GYZg0Za68SI9ajfBVF/mY+KnTUpPKmYPRzh19OEUjOUirKWVurUdt9Llehx6N3Fs/d3W8kyNIVva
DeEXlFHkySpaRrVK/VE5uVdYdXHKk1J61qCCr6QOrRWjDT+OFK4WDauxV/aSH6WNXR2jLGRfWzZ+
aQYZeSSfaq/qO+VhmcF/FaT6qpm0TgPWoSPZV8yN2z5ZTJlDT6e00YdOXt4kdtv7lqz52wYl8rAP
SeLqxMaujUrhpVBFXqZRod1e1s1xnQ/4UqjpuqqC2CvToX7bZzr9RMrxExVV5PXpGLtKJsjNFTqh
daqXVUmjxTRaqZd22fe4EOmKl/KLbLN0wTr49anNxuiwt3m77HJ0XHIGG0Ck2QpVTfQm5tlVzNgV
b1VyLFAbuXk4xFcqaNQi5ThdqjoNT5M6zC77NhKenXepN6WSLPs4Ul5b0fecJMGSh5ZzqpP6I+xX
eTOgol0iq8jPJlw2i7yN8mVXqavACq6icViycshdNKkPyUTTRYc66auCUHew6OesGNAqadWl7VTD
Mm155bKEqMNcl+0HFHYFbFFx2Y3yahqS84JYsGeB714XUeaqLifSlR2S/jCoMDhNCK4bP59aelQE
cazdcGyqc8qGamk7lrWImjR7KxXOliUN+6M8tqtDBnvwbdiq7jgIabwK02h0sygCdSaVP7XVqUZJ
EHkia8gbpyiTS5VQ4eMKj67lqA92qIZ3uczD4x6O4q3sNiy8lrL3Nkqwn8Zd/iFL0tgDqLpl74xd
66ZJO7hSW8Hnpqy6ZZDi+iRuVXg8jT2r3aDjlLi20+CFDpqbsmqKBWiyyGXDJM9YToeLcOByUQ00
XQ69Jl6r2DHjgrxFTaAWInAml8k+vujtLHLHSui3KJly7Vps+taOchW3U+2ynpcrgZI2davJvgjS
dlhoKw7dMRrKwxbJykMq4F7HwmiRtr3oPFaJeIUjp8iWeZYX7mghtpC9pT+OSrL3OtR8VYsx+Jgh
HngW4smh06HEjymPjhJej29q7sTvZVzVJ2FZM+JGzoQvs8m2zmTeTH4us+QjK/BHFDXtYclGN1Rh
sarUcF61Hb7pKru7jHvWL6xYqcklHeNuPJTTsYgsl0tVfY0d3d90ROVveUX6YzmyftW2IvNoUDme
xbP00J7Cj4Jm1ZnViDeBleMFZ24bIunJIkdePpLSE1b9ZugCDMyNSbLIhzRYVF3E39AsT877KahO
ArtN3kZI2l6J9IlmcefntK0/FkhrF5d5c9bWo/aisUELHdt4masRljOZkvedBDGyfpwug2i6GJwi
X2BR2Ity7OOjKtEXYIesI10G9aGDnPBrU+bTys6sq3Co0XIixeCWuGjflqlwFkJM8YIUQi8KHJ8M
Ikov65CWF06CEjePqXYbm1ueA2krlwwiWIyTPXLYu9I+shxLL1qrdhZBLHIfNWlzMlht6Vp5zd0g
z9Ci4wS0cOzc2HZULCTLbA9c4Yu8Yd9iLEYvSHriUqkKd0AVWaZd0ntEq2nZ6QDUS5DSRVkEHxAt
wSpuZMCZQ5Zh3EuvbCX+KDpgcwYdHMswmORpmkY48XDnUOWmJOy/WqHOEzcp+uYKV+K7o5LTvNeg
fe2V6CN7KbB420EKwh26lFiLRET9Je4jfdiJ1HIdK7nkg12dQjSVfKikYMsaO/1STtGHvGC+Y/XZ
AlKqTeExS36eJjYd1rK6LgfYUExlV12dci8Zxn5RZOhs6qbTXNajB9YueQ93h+AjbVnSazZIi3QM
DkkXYlfkoHpaWVwXePqqefml4ziARZ1ItMwwj5ZclYnrpEV8PATheRzVzalAYe+GBF/ENiPeGHTC
K4sOL4RW1G2monBpwslKdWlzFZKwXUwqrH3WtvmKDOUaWaCFWJ4uAhwsWet8HQu86qlznevC8YLW
LryYOOCngwN352DuuEjfymps4jC6u0nl5z//dVXm8L8fY379cHMRy69/nd7f4PLb3/Jvys3pS2X+
0kaan3P9ulZk41/+FNVwWm/vfHnAo/3tlzvu7s6JnPsI5oe7a0OY97Cnu3MO6Ofv37m4HE7/2pw4
DiRdIJvPoFnm1sVlAg7hwdkuOP8ooXUMEfAu71xcwg8QhPzg4kLMT6CvA0rOdy4uHJhkCHxSwTGH
ZjMJuf/7997BDzz7fS7ujoNrYZtyCiVSCX73tmOrgiEo01iyVWQvpPMWbOHW+/+NeUHu7Xkljjsg
0cCXrROBLZqmcfwYYTZADujn8v6N6QGV7ekTbqVjPxR8GTV101z2bEIh6Mip/P77+SEPWf3y+38t
C6Qvt+eX+ZQKnQZsKbGjpovKziVyIwLOpwvX9uTYpaRug8PfP2yzJvseZgQXCrBP+rBgy0ERQVyB
SNi45cgEZAR+t1gQlO2dH+2+DJc1qhKwh0ttV/TUtnuav+tRgtjJKNpi8C0+scbNx7qCjOnvHvjA
CwnY6durVwlUdXzzwC6TfDguIx1ojyodxcvfP2Az0Z4V28SE2w8Q8dSjVhNn2aeK98dsJAH2qlTh
6MRJowSf2jrVqVerugCDhzJq14eoiLpm9fvnP/CCzFhRcAiZPQ4J9xur6v2wtWkGGlyE17+f3t7M
s+/9Nkhuh5s8V6mjRmepw7CrPbB0Pif29yoldQ/hUNh3uatHbp2UfWinS43LUhSuFQqcQ8piDoQb
YmxJkIVj3mVODysssOORpvzOnT6et3zCUDolKIJejK2zHEfFP6FyLMH31cnbeaJvQNsWXSQxU6Rx
limJ4xsEN4ydFFacam/e9IbqKa3eqerIcZZZy7sPdl9DOBNMfJ5iE4biabI+qSpcO8u2tKZpiQar
axasKks+U3xD2eAhtMWYJaBsSqoTb2RsoG5dA1MXv1+fB1QnM7iZy653Eh1yP89UHVzyPK/1B1JP
Eh23ViT5BWRnCDv6/cMeIKIwiIiT0SpKVVl+UY6cnStouGw/5G1rfZ81Pzc0mRJIo35wBGR07Hw5
htRq3CFOVfMIGpsdv4fo3FgsWaY003gM/NISU37YQzqiW0J8YMeLOo6onPkYQ58QWgairyzut63G
7apgZQHRRGFnw7KCZMYwj9fcUBp12dUBGXLhVzidrtJmjN4W0F5y9XssHlorQ2v06SDsHlwoH1tD
vMxUw8lJSMcSchGOSIdHluqBHbXp7t/WHpEIq1TwSvhNRscjK5/QWxnaTeb+/iUemp7sTl8G8Yhg
cZiveY0HFyUD/cymslrOm95QH7rj5SaZyfwuAwTaLMyXVFuQWpk3vaE8dEyKMRsT4VOIRgCDUQyW
q9AYTzMfYPA5lZZTywFWX9p5XRxVtlP0yybhU38+6w02Tvg2vByPRNnWwHypovgDF0qdD3FYj/Pk
ZwbR+NhAEhlunfErQtt41U5kkG6U5j2aRzFmUGyIx5q1uOF+qsKKHqkcd8JNNG0es80bzbNHIzGD
ZWOYhCjvAeI6GKtmkYSE8/Pcmjp2HLZBDomnEI/FpywX5Isuwr54RJM/5PMwg3jZEAa8nHpQhZnI
quPIghwUBA6pBK9RQMKVtm7RJlPnxRGr8sN0mEK+YLQn5bsOtUzPXGCDoGPALA75g8DPOWRISNxz
X/CMPLI/7A1T9i0v3t1/TtcOcY1r6RM0NeVysoOuXTrBNGWrShI+vg1VXn6vLNrnKzqJwjkboHBS
nGIuRPJJpNhxHhHlAU30o+Sx5SaJInGqso+pX/FAEY9N8qYahr6ep0cdg2jabphIkpD6YTWIzw6Y
nzOFrHyennM2u3dL+JqERWJZXPpOBpGMp22RT66Om1E9sg0eoMHmnqjtB6i4Hh08NMJvxz7AR4I2
Dfo6VDZQIsIRKt0i1lXu4olV4bcqnxSeuW4GwUlfZIByw3wmAsjcVjVWuTtqas1UsY5B8IlOaa1Z
w5e6duwlG7twMbHSWszSr47BYhZIVCT1MPlKh60/FTxxWVMljyiJB/asY5ATbvqKrAF8ST/Bce7h
1k4WUCXCMzeVwU0IS0phx+XkY4gbXRTZH4uQPubpPSS6YTptVhV0yMLJD/nYnuqxQGA/68hOZu4b
w3JGiW4r0oyTbwW5PMLdAAlBIqg/C1ZqsJlUnVO1KczeBph6PeHKVbkdz5OdGmwWkCwVHQdYrRZH
Xkp057KU03mKjhpUTpDVoD5Qkw9lxOxQySL0IMk8Hf5+ZTa02aPQqcHXInCiCcoYvd9bzg3EhWl3
SNu0Kvy2h+LC75/xwN7ZXNa1rYxIx7siSYPeJ0DcS9mWydKmZTovXqYGZdsCfJV+Yr1fwrUwR9DS
pxfJWMxUN9SgrN3mWSCmRPuhyuibOMv5aTVkM0U3GAuWNEhTm7R+XSaB7TUOVh6PhjRazFt4g7RO
EKrUmiAPUxXxcJy2YXuigyCbSSqDspAftTpbJ+1ho8NevSM9EtlbpxEsmrdvNsczt/dNasddHXZ4
AJ9NT15aOZ9HORaPbPwHNuWmPWp7ciexUipE0C3rLLJdojR2ayn1TNEN0pIqoThIoHJaFdbnBoMD
VkhoG5gFKzE4m1ZTY1mK3YlOcQ2NER2bK7rJVkcEWkR2t5Q9JI3xZnY1f2EMtqaoq4JMwexDAs0K
WqTaZQwnM5fdYGtEHVFCAzzMTvFNHdPsMIzDmaknYrA1hT8EIOIQJpeTzv2MywZCIzbM8w02RZTt
/Ti0hAfZmHZLpw16d7A7qOBWQTvPRBGDq3lU4aIkSC+LbircPopvdDLZ81YdGzxVU9NWZdTrZZ5G
1GXU+Wx1Cs+c3OApCpyGjJHVLnmNioUa4rXSk5o5uUHTWskhAU9YLxMmoU8hiTNXN5jPnN3gKTSc
WGFsSRBdavtUQXnkPOBhNq9EhQ2eDprigsLM/mTDn6Fwp0IwZ2G1llDz9szmTsHtHYnrQea6Cjt/
pHnRuBapHL/qcfttlhbDBlftOMAN9NeAZQ1UdiwTZS9UmozLebPjXeF1E1QkHB3tt5J8sRN8oSi5
mDe1yVQ1Jvk4Wq0fR9YZqMfPI+Yz82vY4KmM45zbBW/9pI/EQkfOVZkG5TxAbYOnRaqsRgqtfStu
Yy9L+AnHNZq32Te3Ie7sFkR6aHcR1rLIhut4tD9iJ4dDQDOKObbBUhH30LWVWKMP06rWnbCKmDsq
Es5TvbbB0y50dJTSpvWhbR19oi3oAehPnOx5noZtEFXXGUZZUGo/L5tpUQ78axRXwcxlN0gaiLjm
Xdxo3xmb0cvzCkRPH6u8bibZExxsmge2MZUFo3Fl5a0PDa3yVKjQPs2soPo4D1aDorjFbdM2MWzH
CBpuSN5/4iKeCanB0YmWEnrfUu03Tgc9aWL4nNXifJ7cBkdpT4c+JjC3lagrqsdTaPk5nTU1Mhha
9kEQttAjs0SBZXlWEpzEE5qZH4Ce4h00bbuq+GRhawnHmt7mI/8smjGbp1qQQVErAj+9KWFNsqi4
KMPyMMijeZocGeykVT+SAZLey3LqVk2P31BnngVFBjGr0WlZCV1rPsvDE1EOftEE8+qgmz/2ss2c
OGuHSGsQusrfT532Ev5h3g4xKJnJpKmmFECkUfoVGn4vxMTm6anNvXXbMuu6S6FdjLXQgpzYV9PY
Yj/RRC3mCW4wkhTBUCSxbH1oAy9cXKQrGchP8+Y2GJlmsXLggL61dGLwbqG5c00lmWfYoEVwd1lg
Y9c19IW2fhSzwXUUtRZS8m4WceCk+u7sQnW8pU5nLWv2rikX0N45yzDQzRGHbTSjMKppHY2trwV0
W/REVa5ds6s5C06lwckeCuTjWARqaUfVqs+g+F6TpJ21U+B+xV3JG61RamUwucicc6KrbzEdm5mr
YvASLpIfUS2kWjY5OXdg7kF3c+c2qGn3MSdksCFtjAk60SJMjms6sJmrYrAzUrTLwJ+FjeJMzJ1Q
8j5j0SwHi0qDm4PUtE8lMH8gY5t4iAasXGDwgOJZqoVKg6BVn9MA+o1aP6TV2uq7j1B8eD9rK5rN
Wh0hqGEE1kXr0FnUOo1dOFPDZ/kRkBAy9mLUcchHDyD4MJzrEh0PXT2TocJgaJJzBP3lRPkiJacZ
NBwu4bo+PG/FhcFQHTbQc6m71kdVdkGtzEuaaJaTAmcWjDVxrGIMSa58jB3s9bndeDZNvs+D0yDo
CBUFJfJWQQcA+wwnFI5j7rybN7XBz6Fpg1Rgq/FHO+vdrOT1YZEn81oXqNn5VDp9ITvor/GhhDQt
iqk840TNq8tTYRBUV1ilkd03fgn9KZmrdGO9sTo0Xs5bGYOevUVAK1INiHbjtQIPblDi66ypzQ6k
FgxPVLFS+SkLL4eqOkJ5Pm8fms1HXSBSlmS08aeujpZdH+KFlRXf5sltkDOeaKCaIVW+jCovpeNZ
Lh5zOzc8+feoipptRr0F+eCu4o0f5Z0Dhxw4S05rVg1un2A9evPkN0gKLfpDkZZO42cx+ZJF9KNV
pVfzpjYoOkBLYsZ40AD/O7XqVGO7dkfnlergr03tapcQjunEDcEgOLU/5p0Fxwes6sM8yU0bOtRV
2qBI+Q6OaQ/nUfRI3UJkUTrPSHODpzQKQ6HhwJU/DdZFnOOruJ4Xi1NucDSLnRoCZpg6GOVFi+K3
AWGzylDUbCrK4ORTXndj45Mgx74lcHthh308qxUXzsHuAop5h5wuhp0YoGl0x6b2CZ3Z0UXNhqV8
CKx2UFHjF12FXNTxw7oP52WH4dTDruRtQ7WmEpYc1OObbsRvMmeYxyGzTUn2YQanEMPG50FYuHwa
38gmnlc3g+Oju3LDmcoGDThtfLvszoldnzSonSm3wc4mhuoE663aV0x8jO3mIkvrWUEcZQY5g4Hm
aVgljc9gZVwJXeJuPeZinj4024VaktQWnKetoW4T1V6D0wttyXkuqNlOjxDEWYWDaj+MCRz56iFR
sdTIYvMWxmxFShIJbWPJCLyRY+4JzdhlFqNpHqJmK1KXOCyAZrjan2SDPVvRM7Ck86rn1GxD0lYh
SmcoYbuUkqIUdO0I18C5QnbprBwOVPh39zr0zyIZDgWsfRj13CsgeeYHAa3n1RGo2W40plqLJg8q
X1gqrb2ur/LvWvJ+ZtBoNhzZOUa0l1blN9GoFnnIEhdWyDmcZfDMhiPOh0GgDlW+zhj2EIPGbzhx
OFM/OgZj2wxOkShSVL6iPGxde8LpOh2HInTnSW9Y0yFuWNMPsDZllJRwaj1/P2T2PJvnmOYUl31u
cQ3rXohqNSqkDvusjFazJDf7jTrSkbHK+spP4EzzR1QG4Qr+PlqVzlsYs+GIgJ508AiwyiKo1SHX
Ag6lO0EJh7DnyW94v1CMS8ui6mDlieqPmka8j+psXm6emi1HPM0xNAE3lc9p+y4O1UWftu/myW14
vWEw9iTL4HgpL+SXouxtN4LrpmcuimFWa0iZC0vnlU+aRHyBqz6GlU7zbuaWMSxrC+dgx4k4pQ9M
lS4cyq5da7T4ct7C4F012YwW1OgzmN3p4M4KB26NSIvHuph+uKB7Ahpq8LSOB2ivE7j0O5aGgQvV
4gSUDY+H1AtzGaarvBr7dzpX2RFRxGJ+G0W1cwVH3Hh9Dvk/1byTPGerFOqS5SpJC7ghgWcxJOPh
2LhAvTvRpG7e9zW2tIfGukjXZRRZtcfAscQL24Fc+5JXetCLzIYsmcegSj0c6doSiY/5ENGjoEz6
0bMRZBM+WdDZOx7CNSCKLwgfYM4+g5sFDuGyjkjBaTs86cMc42FabK5pKL4MnNLgHK5GsJKvynbq
2hcTlp3fDPC+i6qd4E4Q1DnCKzi2U4+NPNSr0C5DecJEAQe3UD3hd/BHAHq3w6w5qmIFVwagUorx
sM+zji66hobOsuM9hRR2FnXUC7MqL8GflXL0RBMTuMmkjBv7TV8EiTzKiN1Sf4LV7j2HpN3RNFn5
WVN0iC4o6rrJTYImmN5ldlLyeV6I2f1SF3EL/e2y9CUk21wHJyfRFM47tULN5hcErwaXY1SlP5ZV
kC9K1Cc+3BgQz/T+qKHt84FqlmpS+syJSkhZWS4O4QKOWdwy29QIDUbwgrPKj1h+E9D0XcD/h7Mv
WZIUZ7p9IsxAAgFbICIycqwxa9hgNbUEkkCAQKCnvyd61cXf/dU1tj0QSg0ud9cZmoOTnv1+bBc8
I62KYNzJXF+mXN3XSXSss0l3IT5ZAKuJ0P66wH1iLeogl0Wuov7gnOzSsjHklEm8OF44adtilcNf
rB2PZax0F+RbcHOXLg37C+R3zDPoX81dT6EmcGw1d1FesCacO8KmC7/p+cRIvsErmO2XY1/fRflR
82VZzNJfZMbn1zEbPF4iuswenPbdPo+6JvIBxaIyrpP1RKZu9kUaJHKoDo1/D/WyenB1IGx/wUPV
X87E90kwHaNcwOvh981uZjcuw5b2F2iTAEdmp3RVJc1b8texse92/JIMni4zMRc15D4r0n6geGPP
CDmGxYjJbtM706koXDkShDCKizl17alpmoMJwh7vZVJXt57jCscbzVgCUcZKE7jwcmxydtveheAy
J03Xg4mq1D2jS2ILNozsGL4/3qO9prbjADL1iGTdDBmrjoZfUdNux1rBZJfepKsevJ6Qr6KVtV7r
uJ4vaWjTg5t+l98Qqua8uQX4ttG8nBzkx2ar9bEzu4d8RWO0zivq5EuwdfSXANr8FzSP9DHkJ0wh
fj9VCaFdK1ppLglLl+Aq8y4qw9q55A9vh/9BfIv3wC/wQeuaqay7eBXR8YOBdFRf1mkHoTI39ZD+
mfQzpGZUWyGLk3nJcxSjZxEkSX9s9ff4MBBpWTi3yD/dNkD7K9AtBCi06Iw6VkbvAWIspB41yy0y
QY+mftANh3bCNmw2PNad2kPEfDiPoKSS7gLDx0YWq2tdXLQyXg7mKNHueLPJ67Ej+IFtJoAt+/kT
0Ps/DoWOPUpMWb3ZfPbdBYJfU7ly+pe3ydGB7042H3w0TTLVF+S2Z0XkPSHTsRbA3xzHf5DwdBBA
uQgKIhcbQy1PBjGeGpx/d2xSdjexFWrkkVu6Sz2P2WkWhBc6aQ5elXucmEubvuuwopdmXIPvGkpW
P8YA182hse+BYpCJ6/q4i/QF6cpzuvgHNfA/aLnc9tu/lIp7nBhf8c7Ixr67TCsR95EaIQnZ9O7Y
JbaHijnJmgxiWvpCZdbzAvKVw71I504cO6Z7wFicrz1lXagvadK15ZBndzKOtmP3wB4yNpqO8zpv
ukseC/c4jTouU9sub//3mt6S43+b+F3imUOScXER7nfl4wFZczjx/KTCqO9PDIVRdyjHonvsDuQ5
6trYUV38mH5Hof6kU/Hpf/8F/7516E1K6p+ApngJ8TQIOhYYgj0EP4dpXn45OhzTBvhbk/+fn2+Q
K3ei7tQlN1mN7s6UXTVL5kNHCpZ/vw++J+28+hGDr7lAjR8RU0Dz4Vg4oHv8Ts58uiUTmh2Rs9FW
dQ0ef8u269rlULEIDYDfh58trjZII9QlEmyrMh6Gb3qQpw7FSjSgf//6xhpU5G4IKh7xtb9vodn7
TIhJ5kOjj/fAxmxjNeR3eX8JZ2pNgV3U3uJ9mPfVka0Z7+V1NUQdhyVvEDAT8n624Tse1Yc2DpzW
fp8bSJLYLBwxdrR8k6oZ8b7k56g7FHOg2v771ztEyAD6meIUpWP9btkC876DTOahtAlSb79/XTVd
NIdkUrfEIHtrNE0utkmyQ5NO9wBHg5ZXWOvbgRVolfVD9jaIeXNwYnal3LzZbpu3RgG2Al2xEozY
4YtXeb/84ft/Nyv+bzyme2AZ1JrJytiMaMbmRL8MUdTNd41chvGMQmwmZ2jpsakaErX2j8GGquDR
pO2gv5CIxueZEX9N42BLitzXUFJlUNaVL7pLVlLqYdia0nNR++99vTXzuTO4c8s5adcfVMfxw2Ja
e781YjnTenb4BEQqRBFCc9N/EBH4LW+hCMmCD12TmalCwRZ7/NvRlSIE8vO5NSLwFf7rqXmi0Idc
DiWSdA+IA65xIDdCMgQ1o/Z5yWX+SBrCj12wdA+J6wOZQGN6kReyhr8YGd7mEX9zJADQPSQOteam
A+bkhXrgbBWJr6Sf/qR0cdtz/7ZVdhffPAea+2mVl8FATOM6Tl65Kt+AeqgcKgR+hYesEl+O/SW7
PCEa8oTFSyIvgQnYKZZOnb1R/OOxr5PfI4LY6hk1IpWX5SYHHdT+k23Jn+bp31McugfJRSFvZuhZ
ywtTc/MeqOr4JRN8/ba2UfCH5uB//cQuGod1nnJiBshNr1SySthhHJpiGdFsvzYOjLY/FNX/seR7
1BzgCXxemOKQm7VSnudkjYAOC9Sp0T4jJRDdx7pKdA+i4wK9k3pUmLSOBAC6sU8IRAdzqnTXcQsg
OIJGQCcvEZ7jLHVnS6N3/3sn/cdK7EF0KQWW04ODW0k+pPaaqyk59xkUbk+MLyo8hC74W9b/n0lh
gm+zpkkDyHRA6Q9cd/4ZGunHqK10r9U1bfnQNNvYXtI0sWdgrrOiFtGxYgWeLL+ftaVBK5LOkYCK
dRafzbLpKsubQ3UcTXcHOWQmUipVdRUtzX1YQ0i5ZwfnfNdt22iopt7i097Hpzofzrohh+pDusfQ
bVAqa6YcitiyIQ9pEjwM7FgXj+4xdIAV3oRwG4htt264b6fJXoKEvv/fm/0W6f/lBthD6OokFctG
A2x2iLafjBnjYstVfCxN22PowlyOdRIGzSVtJvMA1OungUMQ+tjQbxHuH00WzqC4v5C5uaiNqPOc
2+4uHNQxKCrdw+iCbcW7oR6bS9O2Q2VE9hik43Q6NvTdvbu24TBPtM8rq+NmPRPiPppRymNNRdhY
/T4zos/toOIur7pleJaqv7Rjf+wS30PpIIS/cs2RSCk7N0U3d2EJu4c/RN7/2oy787kAne/B8MMh
mpa+AGqsNAyKwsfmfHfBeoj0TIs1DVhLeis7bnr4CoxdfgyQBkHq3yc91xs4FzLJQbTqPfTOVT0+
9KtsjvEg6R5NN7Ou7tKB5pV2Hs+eb4EC+MPM/N2q/ZcgsMfSxcxHEKfi4hJtAV0ewkYnIBhxiG1+
gFJSf2mS3NMiHRadnBi6a64crEwWSFgatp2HOQ+HkzcRJ990mpDlUme0SQ914Ole4UfllnpkxdOp
SdfxnNQWor+BPPauRvcKP9QR6pW004k6LYCysB9AqVz/MK//sZ33Aj+zGyCTk27TaUsjX8hQjmUq
D8anmPy+3RI5s4AOy3TyGhINzm5/haM4xh+ie9hN4I0eakXnEwdiHnYWQpQhAX3r0EncQyY8oM91
syCYpoZ8nzR9rwU5RqmEK/Lv0yI0KvbexPOpCcewWA2U/+sa0JlDI99DQtdgiCACY2/tpNHya0PD
bD6JSU5ddewHbjnpP+60rmksnLxEWq2jYLgtt3buSpGwiP449gO7m2e0cvZLbebT3Atz0lnsKpPH
h5496B4TivohoYbCwSm6idC5BKYQOk4Pgf3pHhJq0iWe6ps91DJD6VtN8VD0ihwDnNJkd/XEYoY0
w9zNJ9JGpqQyagt0bL8fm/Td1QNLEvhw0Rr2Q0ToIgsCsAnXODyWB+0RoRzA5zAOqD31gHkVvRz5
s0qpfT009j0gNHbG0IgN9hTkeIKLpeenZkuOTcxegK4ZXdQDFWBPUDQlbzpYynxnoU+P5eR7NKhP
hBvsjBDZdUyV0DmHPFFc/0mC5z/KxL3Kl4rkQGRPszOrVbK8EbNu9HljRI3neDS4BQ/N/x5MVS+0
jqMWAS0hWVAtJOFlt87HwFR0r/dlRJ1ay/B1zrumyoCkKvN++3ls6LtgJlusAPCM48msZisbPbTV
pOtjsYbuAllu4tDqJBlPi5yXsxYZKaAw7I8FG7rLoDdNGfOjG09WeHWOJvnRR21ycEl3V7cXOvY9
ej0nk4m01GptS0BSj8H+8aq/u0LSLbVpVptToIOxbL3pCmq2Y8pNYED//vU6jtUYtcycGjuI0ida
lRmk5Y9df3sM2BxtaDmPPDu3bec/+NCsr23Y/Unr/bY1/iXN3aPAaupcNAOsfErGCHyUW4w3JPpT
j/C/vp7+PjNwuEG7esvzcxygdb4EP3rVfTh0kPboLxmRqIbBRXqGzlcNw0APgJ8V6/T52Od35zRS
Pe19OObnxOgOGNZ2ZeKRRarLjp3VvdyXmbIZiZPJz/kUFW1O7lV48PLbg78gxDXYjeDTOkYqfMND
dMcAiXSP/IKBQlOLdMjP/iZ9JF0Ul7HIXHFs0nfHtA2VsH7r4QQm67sOjnwhO6YmSPewrzABqIhq
HVcM8Ie2Cx7jrnl7aNT/B/IFGSEx0i6uCJt1dImNAu9aOD1/PPb93bteZ6KhVXOfnuM+WqFxHk/x
/Y2q9yc9wdth/JcQsMdzNYE0ceZqdtYmmO5svSz6eUpDzk/gqab1lWvvxJP19f9Hcf13dfBvP7pr
VKUbqbulHRQqhdV1axmpRhFzkhKnTp1FvUpVDL2Gn0zR0QF3+9puY5dee2WY0GcU1q3UhfJy2a6i
3oL6G6UOsLsuBKRVFrTdvHMFCh4zPEr4BJunZapdxK4wk0wHCac0xYOmCGneUF6M8JNEUdQzLF2R
5EPPv8EGU89REcu00VfqYTfXwxHPRCmvtmFxYyk32q7vISHnlgYebfDggcz31qxwuIvg2sjiIt+g
3S7vIiMZtOk1epZWF+AVwLwTCqhp3300RCN3bNM2+0sbjX88zkO8VAxwX1rMmCFZLosjzcVv8wrX
JRnSqfvWo2mbzsU6wm7XFUkG58UvXRPL/IfmM5x4QOSE7bUuoPbVbp9vIL074/W2Fh1Eo6bSuWaK
ZJWCOFmfPJ5syCkg9TqVdYadlsPJ0W0JnAYXn4QPUbaw/Nwks9fghQ39dgcZ/65MmVnYUxvOTVaF
DXW0FCkbkIVlOqsyDQHcYh04GzrgN9te8MrmKLHSEh2SlfcY2dCNaQEP3xS8kaW51HGKtBGxhOn5
HqvVi6YYM2R2RR4FSlez7sjXwWpWwQ1xTX/Mjd/o2Yx9Ip/9SDL2Kga4oT9TW1P66GuRzbxSHhyV
+Jy7OYIigmfprJ7A0MiwXqaBuWRX8tDnfD6HUDVGNqbD3su7jdHVfR/gzdfzsl/QDL6mYCDlH6I1
XaetVF0MJzGeBTcZSDWrzgVgsXiAtqCgk87LfNqwln1/JQkaaeTKZJeJQjKZnxlMXcuerU7DzTbZ
gmm5ZZbL9BDOkzy5ETHqmfV8bj+sK+Fdhu3Qk/nc0mRay56LmEAlVmyqQo9DZF8yS7v+IV89mkAi
Ced1LJyxaOYXeZaksEdU1lJKyzyhtH0byWxkZwisyPWhIy5CVzu00FbzeGa2Cwd3K9wmZoHkhD3w
U6jm70QF4MyM8Bk179NER1kl6ilpv6MPkikcGh33SzW1ST89yznk7APgWYM+t1sKmlDeh31y75OA
yMdIOOl/Np3qZzBmxqCPnwccWnHqjNjI1eioHT6JQGchQXiTnCVFquPcPIfWyuh73NZ1thU1h3vq
xbllSe7DsYn7z61jW1JC8z4EG507GuWQdk6Y+lFbxyUv5CCz7wllg/kEdrkXJV6XcHeBKtFvT0D1
TRn+5z6If/TtuPirJmbbPkgfRlFp4Dasf7QxtjmsXol/tnnIzyEZsvYlG+eUncKsMeLdIMXq3zhw
JEiAl2joBmTVTYmYXSdnu+4viZcb8dCygW6Xvm9VfRlIHo0P85CnpGxjGpMvGSNx/jNysn4GhTy4
xzOS/wF2iC5al/CKQyAoqNbGZ+4eJg+Lv4N4EP2s8iaGu6sC0/FtugnVPUe8bqKr65t5OwWDaNe7
HKai7JKyVYafQlbL+p0Ycm5Ks9kAmohtmE/goWgGI7/FT8n4NIXehldqmFEf4axR9y9zkqfiHArZ
p5VdW/hcFi7JRnEGfjoan4Z8YT8UNAG6skaXxr2INRwRSkS/uhNLejvyCp6ebHmQLQSOzzWfDRgq
AbyrP4hsyuOrNgYmybYORvZdiLw1Je8madsCTqd1CHOgmK7XSenJVtaRMKjs1JGo6JR35gu1OUZQ
JSGPIGe4YhRNwKexaNdg6k7dTZKngKCdl8+DAzHtlJjRfSXh5hj8zzic0UtYQbAnpEv8V40jDA9P
JYgumXZJ/2kb4M8IgSOtIXlWUOl9c3UWLNkPG/zpxroQg01XxHtvXN8XrcU17Qp0vJfph5sXmrzC
I2PEhSChVpO/U/jKbSGNnccTTBzx0nnqHNFJAe5nl1xUHuXytCycKjjaRjbzDw52xehgrrB+yu/C
ekOOCCabENcJNmhB4cemCd6zRMIEGEbHc1BN4RLlVbp5376Ooaft3WK9yy+z7oO6Ghypt0cKd603
YTS1zXt0kckmi0Ypm5+hGs/tfS5RwTxv6EJk51g2uO9sXScDcN6xWB81D1tZ9n6MbBmbMQ3AWxin
uoGRN3ZQ9M6GUoOM0cXWvmlWmMHf9Xgybp97KN01Q7FsMRxuoCteDG6EsWxE88m+JNMQdN9Is2bq
kSkKc+miE1qJn1RlHjtBQ7JtOvU8a5Yz/rK1PSVaxtNHJhdR30+8aekVJFqmnuaRwBTrhHCkWAUv
I1r/8pBKhqb5JNrkbuobzoFtBokJeySDjtK9aO1m7kyrKTDDBBji8DQZuB7eLMg78h6/mb0ukbDr
VwXReHDScyL6uBwgv8jLAPGpLtfarO9bwiy9y3IDrkvSdQCr6mXMgnIzs4Xn29i7FQSSJY1KPChk
4g2GmyQvq9t4cxd0JMbLUVPLYP6gte+7e0B3hUdW1Pn1B26NqZPQSA3D6O3tpYaGJRVD6p98mMd6
QiT2W33NWiw9hGYZHMEeHQLy8AL3i2m8wr87t3erZXlyu7lXAU0AjmmcpsLmOOUh9Oq4n3k5NG7b
3tJ8VXkBp7GMndNYI77BYde140too2z45sfJxG2h7LIm1y2m4focY/eLz+20wiMGfyTt6xeJ1rh7
l0lM4r0n7bhWHZ0Te4f7PzAck0s0fK59mjoYdUvbeyzmyJfz4mSgP6bRZvWbBXO23A8tEHgv7dKI
poxb0U+fV5OS5Ism6ZZp2PlCqNpgpqjiPztopoZvoFof5996KK/Ir4MaJEF9BUFEWuqWtOmdhqv5
hvxNhBnriyGYN1yFasX1gWwPkrEsSJa0miDS0G+AjabBd6jKb3EZ4lJvr34e5Id0xv4+ydApVjar
x/uLTrv4U0KAiyjpltVtiVo0TmFZ2Kfzhag0YQtclUM9PBsxCFCOI8h3nk3eqv6JauMCBRvhdP3W
9oNdz0nUxMtL1IUj9Hfxzpp/iLPOifOi4JTzZiCCfs4muLxUU1yjFZA1gWXPW2fq9ByOrSMveH+i
3Tsl08k/RG039AiYMc4GYPEAqmUXCRHV8QnGzblZyyyO+ZsNyJegXFmjl3eTdwMI0eC9EldCxrCW
ZZpHjXmRE3pMhdBcDSe6gVerzqCowVy5pl1XjWFNsBKNUNFTPJubkyubbslPBrSv4GWeLQmp9DyE
0VxIv26f2kxBNanwGsS/DwbkNvrKJ9Y/jt2MjKsUvA3KqIUq3FYiui9F6hi1n8gM2YM7zpzBfZ+u
IdJ0CgKvscVG48BeGwwhfDv3nU1LkrChkpuYu4tccdS/JOHoljNJJQyqHR0heRbFDc0qqoDELCYa
+XOOy8jZYkzqdnqeAZ3KuxKeyal6lFO9vWTbzQDVj54+TFkmw1MGBxs4tWukHNXoY4R9p5aAXyXr
EvthVjXcyLtxjkq0pQfydVO1W8raifgO6RpsLSVYND1e3YpxbcWdsAbCGjF41bhsaem9zU3RwwyJ
VXYMyR1HPvDJ6ZQ+cEgpaVi4t8NUiogwDs1WQ4q+j1t2nzm+/YzB/mmfCI6Ovvh2gm/2EJDxTegg
8YoSiNpHzjLikTtF8fhmCQyQ5HZNSwYa+RNa6CBrm1RTqJGDyfu0jRn52LuAnyRpmSy0Xu3DIlX+
wh0U9CuJbVwm6+xKIurmLo7jHH7nfLvn0aq+bnxp3+dUjWUTsrcqGfXHpM27vOChmQA7mZWUA8zB
m9xNBUe2u5032Lttd2wh/JVFq7m37ZblFbYzK7Wf/Xruxja53wBfjD+6IEvfc+WAWqiI7dLgrtbp
4lRRY+dmoMlvIvzZ2HqzH5OEwTJ+afSaAcoZLW6rmpsewFVtq4dsSjZGm4Gz7jBMBHVMQ/u24myJ
gvslikFoBn3ahfejiOr8eQrWyZ4X8PzDV88UYWW+xYt9mGOT8K/IXPVwSiwJyJ1pTBM/tuui4MbK
u0UVLjJj9kpnZcKXgc7UnCDTsHWQJJiYuPYB7N+/BAJewm2ZbE3SVOHUClvMSYNUNLdz2pSjQo7i
ipoGlKpiS7a5+bFmCR0el7Vf/HeYUjmkQ8JmCXa3wtlKTNGCMNSeoKJTk8uYqaZ9u0ao/U99F1N9
tiniToWKhqfX4Qa/Ow2pJvQFpJo2eQB+lkZVlK9Jfo1Am1r/asAP0C/zZDMTllvOF3E/DRMNYb0O
Uy+8SPmWqO0tSuOUoAoGZNM/TJOaEBdEl7royWgcyfcSxar7IhOZX+MerxJ00i79Ek1UBl813rRQ
Jq99ApdCNKFFid2BZKmo5wXRfRrntVo0H7NPDJx++wrD9zD7PE1DTtoqSYcA91XdJcHynjnfrrwI
CElpYW096jKvqSLPk8/W7a8YdH/1c2zAZjtlLaz+3m1KrDkEB5J+fAOP50Sup26BuuslbwLSv2E4
ZYiIIR2HDOFJrCmahaIDff+upaFwd1QKGeoq9iNSgEIxxjhk4HvUH8j42qHcFnPLRWDjYt3b1o4j
d5dccjm+qinol3PfBja/TlM+J1gxn7uxGohal68yT8BFYkLm01fr5LCcDQ91UOZyjh6agdesHPD2
aB+3to05liRtQAac0GUvR7MMSEoHBjmZ19lDJRdCAEP92HMyXFy9Zu8GSjaL7CDx3rxsSqlihJ9m
AVIYnyn8xbK2P28uS7aSw4J0vno6oUAT+ZwWk3V9YAo7Wze9TSOXir8WWJtkJy/DUFTM3e7Vgk/w
mLirkWY/NpDmwq6jkab3dQtP0wfDt/5TnmESKmptHKkibPDK/Dop3wbIUrcwuKwe+/qCPCBK7y2u
gPabc7S5oASI8i89JM5TUSY5D5t3ZkmEgCR0pFkzF9hkCS0zRNUN1VwA4pxPRdQ8Z60LfTniwH+U
UaJPqm5Yh6NWz/d9iA7GE/oVNHmTdSuT924Z8+/oxHxG6mEJg6UKAwS8h0cMedcRXn+FnkXbVFwj
KDbtKJ+sDZGZeQiMuKtKM1Eav8FwBAj68K5JR6qeBksn9TTW8/QwG9O33+DgbH8Fg5ymap0DLGO8
pq9yjm+POzLD3b7G7pUhl7AV9wNydeCa7Fool+ozyMo5K1rjOHIDwBYWmN1lK/q1iIQT+ju2fXYA
9MMiMbt1ekD8Hl8lkrGCJECgX9FKz6dHOmRD8IamAPEBFJR2fLkujHOrsCjzFk5gdNdtc1pDmrXp
qc1Y85YP8IY/RSAKDH+tC5FLGQh0rr5C7gAOsmOSTfGpE2Qj2JoNeT82qEcuW9dOBWkRQE2xzCNc
7DiZxY8s0RN5pW4WS7npKUK1k8ZqWYt2yVTwpWmi+nt2S03ushUs848bM7+sVDZGupsPEZJZHcv5
LocnSFbmbNS/+gRHtshg2VHCFiSMTyqPs7+bf5J6TMKWnaBvWccoZWCqfl5J6tLPhgc5+MdNXqMz
GOQaykiTgRRHhaREu/uE9f0PpVYaIc7Fou1eodSWtyUZhaN3rY23nyiduX8YFal/aaF8nsCge1vI
oxYuHj4GdciSXxEsM5KfKC0FOiMtTx7zfpSIHaHYSsKjwb0Z8zo1oBrhbSnmjIdvmoAxdLOReoQP
iYOg6DlfRkaq1fqQnha2TEuh9Ly+hyZyFH8yY768DYJ4+pTVafQRz+3WX/oafIu7oEdhvCq9LicW
ZxD09e1iPmHO5UMXScDaWAuHbGicxP21F3k+lInptCtMUMvPYOquxZCAJ2NM7NjDuJrgTcrc+sRy
L7JzX0Ni5KSSbb0MsJW4REaF1xg+xoh5HZ1eRc6T7cXwHuzhZYHeT5EMc23fuxkSr1+hwYHibNpc
LD6jNQxdFrZsmAfi2hZhIacR7ZFxpOAfZ6H9KFaGJJGilcA5sow2CSAPm/qgGgGDT05JxtE3cfA/
h09JOvrmQkxoXiG/3sp3JOtBAl/hwPCuwUAK2iyRmUuE7c26YkRvjL4YKdK4pAbD+dj3tevP7VC3
oiRxatz3G9b12ndK64c1Tb3Cb8hgeiej2KkXylOHhG1r6DnLTNDfAUKZurdoRXcnhImuO49J0k4V
EYuKAJeDc+updyGCCHRg7rEWaEfUJukNym0H0PKybfbdFIh2KbtkjtR9ECzaXyA/5n8GCWyTCgVr
yAfu+xXHp84wHdKFJ5nHczkM1t3TPkLCKZruYTMieQf08gCGAPQd0eeAUAON0/pz4AEnP2dgyGwf
0WdaF1xEUxj9tNnISQoPHOnRHpjUbLprhxeK5qvww6RLrBQI75kUyMwRMdWiSzHUBvrlEC/KnyCR
lqVl7piZr2sfD7Crh282vEvrhWVNESSQPTy7nN4OYdAunMNdcUDFhOAjq9ZPubtakDLygvSrVTjG
eO/6NePurK9mtCGvFihqh0BiahJHr32MDK1aXD6KMo0XBq6PZZt8bRiUXqoQevPNZ4WGRlzobhbi
Y7h6RA8eBCy6Z2mkk1LnRJGqRzdsKftuQWurAC9v5VULHlf4EpthzN7CEKRZig0q0OY0b3XSFxvx
MTKY3ET2RzDCVaFIQPXI38LLZkkvYjMu/cHwR7lPExJU9phMkUrLWKWSvFHchRBNNigKRDNp/W4D
gV+eSTuFeisSkO0XNDBF5zkKdYuWAzb1iqQQvub1ADPqfKqfRB82/hrF4do95QZ92oIZ6qCXbsT4
K0xoI56JrztAQepQdndztgTkDShqKcOZGql3eP/pNnOGf6MbzwAXGV3iVSWZv3dOTwEMEr3NroFC
O+VzqPRthRgKnyoac9OC94cCTD/P6B/KEvwKO80FNIci8v/YO5PlyK0sTb9KmdYFNeaL21bKBQCf
6M55jg2MDDKAi3menr4/j1QOCkspq2S9abM2SYsQg3SnuwP3nH886q7psFw6vVbuFTqL8X0yF9mF
ketG/W7ifj2FrVPX2Sa3LK8JTRpp+sxv2mJJtmyDuTxGNvFriC/zcz0YbWlVmCZKzhdRrwsvwCcS
SyckiUHnglJRAZ8NFVrFF+44WyszS1/be0CCCra+YbbzwWGNzMebt6Zhw8cg39rzYDSfQjlZrrE7
GHZv+bFFiMm3Oity/FwZDFnPYVowJ9qBlrdy55q1ucyHzPAs74nM6KI/Taz2c80vruzUZgaZrera
ESqfnzV+G6n5idFb1bA9p1mzkI7eOtpXw3mDPkZalc0MX+hlCZhaoji+XgqjY1lpB8vlArczMCsR
wLU4bKt6V8jyq1rYrpFTLaLQP9t+1BqGAeGwMFU9dtuRtpqqvehkNXjXDjePmFHRS9ePLIGN+JKm
U5Vt7dgutYlXt7ZKypLdVt3ajPtcy6YUtrOtGY2az6S2ncnze0OS1jwJe/AeDPA5Rf0L+H//Llt7
yJ5qbai0myqG8Lkdz4sqiQWLl5uBGBtyjbHN1W1+SAp4Lz4kdm1tW8Hi427oURyaI6bU2JmCFQ6p
YtNVrVAi1B23945TDZN0Yrr23BNjkd3dl3matRcitqbqoA2UmX+xdD3SA/c8s22HqtAGPxfmpJ0q
nYCnW23oBsU9jhj6QDIZl5tlKLz2SnU9RpfC0cX4sOaoyAJP7yB5lJWXRMy0sdZ/9dyujh6sqePm
X9JvkI7rhbbSr83ISq5hfpjq2FqYp+igDgwx98N+qUpp7VtQ9mmXZ+6qP4EqOs6FymACg1ovEABs
sG7qrRfy2VzBts6ImrZtWtMcAsstUs3nmrt0626x4Rod4jG2uoG0utkqzYDvcUsonsXPqVjz/KWZ
aydsE+HY+34e5Lqv7VnTSyLdzGmQYHoxXWnVII305Bht1z05HanqnyK2h+LEYKvENneSQd5PE9RM
mMdeGuNORJx6o8oyd49RnJfZ/eTxwhwX08u6C32gUudy5LmaVI4vq3OTDqKIL+a0ldkji56KxkAf
mJabMK28AtjaJqNN6cHAxVxrAdkf7lKH8IDCk9sMafA5wli8kmCod0YgJQGYxaaACuqGAwNYywvb
i7RubzinS4BnxDhQacxucrm3eNkxV0knydZH2JNo3o5cyVu5ruLEEu1qR1OLJIOdq5NeZ55pPM/c
6anr1rssFY1zWvMKk6thLlX/OqlBElqRDUSHbPu4npfENybXEXCcJqIrvem8MXABNrovxUhk/U1F
7EJnbs9RrwaYxuzQvu61qxzTQBbTlIVL0Z4b5frOvXLayC4PdH+s074p68EK43Gpy5PZkVMDRKrD
t1ZLK4atAsQ3fK0zDG0LR9mrMPdiydpZN13NhGQVynqbBTXvx2iN0/mOSAa7B3tPonb9sErHit/r
rNLzg25hdTzooL7NJQbttn/IiaRmtikdez4ZttYt35bGSevTssRaB8A3m16wSsYRH3x5gFtRXYfY
r+nty0EvuinoF4pDDy1PIQ2H1TSzAG28C2du22dF4+htJWLSq3ykGfhRn7K4u2z71SgvBLV36/nd
FhFeB9kvVLd3wk7fgfk0K0wdT6s7wlrZZ4Ku5NNebJisMw5IbqTnNX9q6+laau1oBYumGS0Xi9e0
2CVq5/wKyhq4ikmideR1J8Zcw9mthPoYzufjhxhwqhNv4MSHppKL4evc7/J7q23Nnmsvdoqm92uv
w+gPxERRlEh0pYeW6WjIa6y4ia7MRPTTltsoWYhjXqrxs0/nej5Vqyic53YeXJvlpUmHi2UR6/zs
iaIer88Zjta+K4bILwi7aXym0fgMltfzyJkLgXnjLYsUF12C0+AKoqQgg4HZeAXaajJQK4fiStvp
3zCuNp6PscicNrNbZ6B2bZPcIZMwmIhGSpnvUpSNnIt0bJDdKEcvkk+i1iXi3lKHzxp3ZdQ2Ve8r
/H62X3noCKwA7rsdPgGSYsBbABu9fwOtWJXmuz3ja+o73GV7MMS8wu3hE1LP3rmdsYdSDlTOtpu8
4rBehtYfJkpsml0x9o5Kg6khP5w5VHdnxwhbK0HKEf5n1/bE82qOt4OpsvpARxHU+ZrXN1FAULL1
aPHd2nGckrg+yOSM/cas33N9vmfa0XVldu0GtGAd0LVqkXb4z2iY9Xnp7HxPUPc8h7qbVoO/Lolz
DWFVDqEbYf7+cwqmH5OF3MUui6rs8o0uX1L7wR3/nJ75x0AhJ7dG6Bp+rqXuPEAL5fxJC82PcUIV
gYcyUkJsOSZ1QCQ56pcdd+vu33h4fyewCsrgtxpAoDCzR5EGM6Fx/TVJpfpjMWkVMYJdWwM4mWNK
LYCQjXkzd0C3LFippgeVNvM+/bGE6qwq+ldqox+EZTEUzay0Vmwr2kzzUOEjuEQ82ATMa9CPcHHe
4Y8f6ffEVD9oQdum46OGpnhLIEAj7vulioawjplzw4mTiXRSEklyptJ5Kf/NK/w7Issf04lS9GGc
JqazdT06OXpiZzYNWPO/+YV+76f/oD6rafTrRCIdlCPFe9YaT5NXR3/OOqL/IA9lTG+KOo6c7ULt
h5+0y0ENufUnf/gPCrPeMPqyGlxnCwa9gUhVfmSAPP7x2/x7r8oP8tBoHlXvSOVuY13rONPHyDcS
Tv8/99PPj/pPjhczqy3UQbwu5lqQzdtLWibX6v6Pf/jvfEJ167c/3G2NYqrnlI9LIqT50YEpTYHu
Lia9Qp5Z1H49oMbe4ytx6j9Vz2f9mAiTePEkiBFyttShOs9203ZXqQG8+se/0Peb67+4un/MgxHp
YgELxfa28GQCAi3LZYJc4Z/PxejdJ5vJm/9T2kbp7lSdPqSrejD4pDn7qFNDwq4SJxvaGT/m0aK6
2e8FI9lfn93/+jr/7/izuvnr8+j+8l/8+WtVs+zHSf/DH//yUBX8+1/n7/n73/ntd/xl91ldvRWf
3Y9/6Tffw8/99XHDt/7tN3/YMJf3y+3w2S53n92Q999/Ps/w/Df/u1/8j8/vP+VhqT9/+ento1Bl
yNLTqq/9T79+6fDxy08Gfksuqr9Xyp4f4dcvn3+FX37av7XLW/n2L77n863rf/lJiJ8RD52d2o5B
bQY080//MX1+/4r9s+2yxOoGDyGBKHicktbT5JefLP1nT5ouALYQwrK/hwR01XD+kil+dglLkhLt
ty7PX/nbL/+bt+cfb9d/lENxU6my7375yfme+vCPj5NAnG4CIEqHR9E9KX6MYM4MMzEztBe7dNS8
a6EDB2+LtSy25ZqmL7HbD6/A5fkBIw3mK9lE9MLPtrXRIWP27WjKA3tJfy9tfkY4ilQ+sXVbL+ZU
iqt11e1H5UTdJZIm64C3In2vlGZdofSfwdLaeO8WjtBZPaVagoYA6o9sXs3B75qhv3Jz3XywRQoy
r7Si/LYstXnJVJY/mLkxETygmxdlYhk3XWNl4bCMZdgjrTzEtReDAkXpE/1K3UWredGTXifpZQoF
owhYxIglQRQBczbs8p6fpr0eol49izRIwrBSy0CC60WBEzvMoSVqxSsUtCTjdaoKbVS7IWrdbGN5
c3GvejSeI6z71WDA28oIaWgC/7goVz/BDteXFrniFzNY/NYpkvHKNkebcybL7sde7y+rPl4Rx7rl
VWPa3SGmyH4jiH66y8ukP4wo8gC/dKQEg3OFRSK/Ag0fdw277ivqRqhzrRwvYmHa6Fub7DrPrXbv
IO8LzjQr0s1+fZMFDZCWSutthTgR9LVd/H4V+SZqe+eiJdzqMcrqb2XZs0uXoBgqmItsetX7OX5C
NTm9LGgiH2Q0RJ/GakOh2N5aj75qjKIMCOsU6sByWXRbZSX6ayEdW5HYnioCyVYxf6FnZLK3WWSr
m9Ib6Z/1ivkotWTesM14C7zh6qmQJV2GC1yvjbzNgr/Q7JyjjBt1efLGofhmLDP3stEwKeWpDAeU
oSpPVkG+eTQ7zT1F93loN4UedEp8Wyhhv11JFb7QZte6zPI4Dgut7J/nFAlB58nhWYypekJzALjb
aHemm9bHFB3yN21WQGl6CuafDmdVdhov8y1k10eSeF8cR0SXdbu2vOkiOprcYMNhKp3Y79MKTWXU
W0ichaidy3Ec0ruk8oxQrd1yMTeruC6Qc5Aa9IiKz0j8ScTjaSSh6K1lZtsvpj3tgQaTU7vU2cFJ
840Zz9G+0jr4GbT97i0kY3U99RO6ARYCvNqJ85pYcNCbbB21F7A89RTXeXYos2n6UkhXf5siCKUk
KaywQspxZAHsQvQHYeY6t2o2mjvGbhjiIR/fUsbFJ2e2kl1bDdYrir0YLRDFE4hOYFTQdSvr0i5A
VUP+an0Vdyj8fPSd8dFKAI5X0dbXzqy6G1Ke6ueI4J8OJY0+7E2C9mmBLOpsm+JkiSiaS4OosI27
WGN3Q2heWNem5czAON+xZxZt0x/Rqj25hRIXA2xyCMtRXbLeNWxlqXmNWLSDYR4MzFo9gN8oWqB4
kToqcJFbXmZJrMZNlPfGZ8RQ9+m5CxC66zSXJmgVSUck/BoBvvV8AzdRN2HZkVQRTK4+PaoWgntn
uJ6en7mHTJCOhOawWFC5okRAJIAjv0nCoRydS7MUw6bKLX07RA33wUr0uhPWdgnoRsQdkgeLQu3t
KjTvqveMZvVbbsWvwjZXBrbZXcowA1FZ/WWNETCO+eSgzFEu9XAttoRTr+bqxaIJDGw6jYfbWRvL
jw5N5xxEZWx+sVtndvyy7pLXuTr3dnBD1BZflKkYccyag3hlcYThSTTLezR007nKGmOC2TXX8gJM
2XJ9lpXlQPazQ3Yp3T1GQD6x9h5Xs4mS3alJqkmcwtvI3ENaUw/epVUt55v2FCHmUHOZK4SC5bwd
TNogdp6pzzpSfKm9ugnbl59Vszb7dK3PkGYuwO1eKbOmOkbXmqspT2nbm+femjexiRcs6EgepVSx
9MDGmPqre+WOJUiMt0KRLlHbvetATKk/DC6NpQrJVX9fJ7p2hPGCGkYm1W7EkJDzRb7Zcq/HWZ0G
tpkNr0CbLmyHmkpalYbJVhswvCTIMDOc8WUnyvyIjgNwcMsZfTPPjIslzd0DkzbQTGep+VurueXz
gDJ+V3kdddcmIDE67LnJ78A5o+dhkt0lvOu3hoqMN0fJO3um4c5fndgW/pxX7hYcSV4MzjB/WbwR
LTsEgfvFHnTE2nGRLQfdjUUERJG7u9gYxd05mci7Ie6a7jowJIjYTLQTMJPkF2hF0u9QKCHBdMXi
TkHOzfdRS635iJQrftJtVTb+kNtdWBs6lMsEvfZpeJwqlpzmHsV4om+SZHIuNVS9wkeOgJ4Gy7Vz
0LSc657iT++ldnL3Yend7IgwCyF4waSJYj+xq2W3RhHpD0ZsPII3J5dZ4YDHgLbBnZdumb44YuQ5
i9wrLlysPSVBPCpi4E9kd0E4ePOMA7WwD4oxtyboGWEyKe1W3gWt3lmnjMaLV83KySjU9I4n6Ixx
/tFoI+K7GenkVamNXDF9ZOTPaZkPR+6hxptu9MvzpHveATfDgrRerCn33tKy0cTlXYz+ah5eJd9/
22G2RbKbyWknHEd7bSCKj+bi6Y9F2XPooQLdRaqUTzElfI96Lek/tea4CyfgTiK7rOIS3Dxq/Sri
leWm21/DJBujL9EyPY2jvfThisTqi5ZVIDommlyu0dq6dxQLlc9dUXsv8bOtvud+jy+QpWYHZuQx
Ksihz99UUq/1ThvHtN0g8KNYIVUVtXepWegvPczCfVXqwNqJ7RXPxhSBUbXLJO5SK03irZiwgbYj
GlO/z6rsRibGmvByuSbGbriHI/Z6pGBpmtxOfYLMuQNHDttJhUa65u+8VzhV19mrn6au5xQYe853
21jvsjZBBpNZVdH6cWOcscu6rG412D10xo2mP9VpZg3BOpAGMCYr0UhzJES87xWY8Ings3ZBx+zG
fRgRoXmtNxmPPgmzU4GZJdFL5M75gbLcMUG+zasaa3H9NHSze9tPSoZ5DYvqp2RE3xh5gVR41rmj
6p7d3YFs1ncT6B+/s66bW1ZCjys+xuikksU9pVK3msDmhOOT4Sxir6WDsTUqYyAFYMzUJl11GFVh
JAlwZZteu4YDIh17pfm2GqJ60hoJXWO4nX7ltjOviKSx46TrM69Qbddqb8yx90YMjPUVIRZPK5Zp
/ySNGctWlyxJKGi4+uoxz+4Jl5NPSleEga+Nxs2vN68yZO2XtDNHc6g5+bpLJ6TdnLR1titco1B+
keIC21VpJ0+RnL3jDHsng9Uk4DdUKum+THmWoMYqO+tbXktqRIbUunAiLX5fe3NB1YRU8mTO1lXi
WfphWXOO+e+b0P/tdfBSfeVmWX3rf9wHf7NC/r+0NCI28Uz7DPX8/uIYJMlb36sufmuT32yP//jm
v26QHnuirtu643kWhBDM8d82SE//2XQcyZao2wZr5Pkrv26Qpv0z5zgbIqui7gj3bHj8dYM0xM/C
9qT0XJL7vy+Y/5MVEg30b/BGYTOGMKkY0vRYJXm8H8AzPUrHjP/mrYBrNrczZ0cwdakJRSFLApGs
eu3STZsZeL1G6rTS83Q8rCxS5qz5vdtzP5aueSon6OlqqPCtDyhKT44Q+T33A+3BMaLkQIzveOMW
ZXJsabmOkZKQ4E6EpdwIixa0ruySj9Hy0E3KJfcSdkEr2TNc5U9rjF4liLA1H2OjxHqYmK4XcJdc
bt25ImeqXe+R/C3sUnuELdCKJjTEZsCaf0SWXgaITbmDLNUwZEE0x30fiHzRph0Os+ZKVQs6wyFf
9fvIUfmLRVDWfWVWZejqZvreeEt8ueQNFcuLhlg1rqTzZU4YBHocMm+TictSGudh3wQBQyUHi50a
GbapPCrBirv8ul6zdFNqvDqlOR9jHSO7QXJOoKzW3Bp6HgcYK+pwrVzjHSfHXPhggizqvaeyU5O4
2fuETmn2sziXH3GlxY8sO1YSpELCgGDQMY0wNs/rs6NPG2llZ62nYvtJY/Mi5Q0Ihgw3SO+m43Gu
2qdFldBXwpxVFq4dvtY8LfWKA6IpN4m9ZlYI3yEuB3dK31RpF5/UOehy10L1wVeVY0fyK1mjp1VC
GNZOp0FvFcRFBHLsqX9yS4r/YgwWuW8iPb3svUlezLKsX5Mu6voAEfWi++6syPGyBGJkvHbJS5EX
NjsSgd57lKsaBL1VotZuJyT2OH4a5ianpUaQE1oeUXih3c5hVj4go/EcWChL9oPSJCodcq/Ro7nL
xqzh031heVm9yflYP/a2Zd5kKrVPkTt0D0mZVG+xbiUp+0jZyGMf81EMEPHXX5vCWV47mVRG6MDA
AZ2kbf3FGDBh+quBmWlH0kF7bwhL3nCUMvVjr5KnNKu6myJpmgZNEXL3gDt7e+tBWzx1tsYpGxW6
9om7jOBmzzDaF3xYxbvbuLTnzBCtfmXK6YHYcavwY+b4Gddvmiz7yRSJ5o9aUh57ZCtIWMxpR81t
41NxOT1J+Mc7B4PKwTLK83WbNXsUnNoY2DV+b18nJixsYod08Ug3s/eYi+v8rUzKvt0yv+11xSG5
QXnkHUZHuTe55miFb9r5rD/HzaK/uHzkFujjat3JiMg03xsqnjU+EsdHLavHfodC2kCR4cX7taM1
DXUvdjVzfZ3ieUPGQmAVdBJUo/RUoGdp++6I+awUNOz5dR7TMmyGZEbT1E0P8zTUJ461aI8HBJSo
yKfSd+KeL6NL2TTL3D2vEK9JGHe9vTG9iS1/BiwQ+soaYKGzDFAFlVv8z2ywsxftlyXZ8bzXTQWH
T2fnbPq1RUnw0LSlz6kbPaHDLoKSVU+G+GDdQDMGVliKdeoGVq9owmQtmfvsVelGUExzUW3MKLML
jASN+kzxkjwi002OemZk8abpLTP3NducUG9Iw9g2ptUCAzXN8AqQljBwab1m+JnC5OSvhdPc1Isq
li2ukgo32VrPoaFhF+kFGP55URqumiZjDl5KfLt90XUvnS4i4lnKDyoH0yEsW+7TY47oIZFUw2+8
QXPwqsrmUe/N9BLZAGSnTObx2Y7i9mRFSfLKcpLmyDSKdTOgNO74wEYYwgo2PIUGbxVfMcfk+7jo
v+qNsuvAK8fqgqPEocgvzZsPW0M06GtoY1ZevGm6RNcR99h548UJOyMlVl3rBtTENvoYz+f3dMV+
kHniMZbFhhVm+Ds/sSpWfTDNwscdwiljj8W+LdrmInJVeV3wSum+qp1VEaJH7NvO7OiQ3yOGNLe2
QnaxB/OUXZDG1lkJkYMRALhZORSq1Fmb+Ggi9p0W70LvK9oBYSkHsK2Zm5PMy/tS43LrVqXmMJ+a
5lWJjgG8lp5329et+YRbP+Kiw6R10pPKfJSUUr2IKvUuvDSPUb+JXnN9DzXNdd175TVtjeKR2qqM
l5vIlSYQ3Zhb26U2siLs1Hi5iN5dA3u2YwZKdslwroTxTcdz5B15hokVuqPD1p14i/fazx7L54C9
4JLr1in2kW063Bgmx33g3tSexkKilY4qc0sAMglkEaUIway16+rnmtKSAOO3sdWaSp2QaInnJT3L
9qq5uM6YooPcBCSVOHJvTM8mtGw1jJuUO1Jg4KV/GmIdUYy06tBYhtdaF9ZDX4/2TUZ4ZzhkqbVH
WKs/NHqlfZppNUfU6JmwiVZlHVI9FVqQKDt6KPRY3IhKPVQgdjdRtaCfWIhFRPCRZjdaamI8suuK
3kVqk7FrIn9JiIIrS6BOXrYkWERqF6z2HriEqnOrflNeGW2hX+Mz7QdpCfs07VHWi0MfMzqAwqxf
c2TzoYZ+rg3QfibXhCd0JyQNYlNPrvoC+PsKubfugGNnNkQy2wRw1VtECTxayim788RU7rTGWffO
mJTbRps8N/A882yKbdBADYlVBmbXme0l7vPiC02Na+57hjl7Gx3wIcf+o9uHnBZrJCGWZx+GRPUP
zTpV+1Jrk0uZ6YQVdQt5QiJOkb9XONx06NmdzQ0oqLAgPjgcLbe2llvnpikc2Gy6nruhEbFjlUmn
S490mXTDHSE5jFWUXKGsNe913G03xiDT0e9jR5z0eHTvLSdZGvCFzNhNnWXuUm/2rpYVleCx7CLk
qFJP8ks3FflbvcjodViy7A6zjfzWNjnKZj4DWQVmUDsWOtkMSMpYWq0GaR/KHC+tjQXUsXiLfQi8
CIi3V7S2gTA8myuKgDpb6htWTAS8dieIybY6w3pzR4bmsE/j5AlwIWmR1XqVdjU7bXK045TOTQfF
1s5KBHA1YW/LdEBo3lX7HjTvedS4IstCjXcipoezR0pyPcGKNEHvdH3k40vQ924p4p1b5P1rvGTV
bYtSSIZmPKgLpIjNEYcK1+oaF+lJLNZyat0G9xso9nDLADs1Pv7t5AUZJN7EfBqxMMCXWA96OjfP
lpnWN7JLEXS57XrlsQ2PPseWPYdO0/KOtq1aC38pxEcFnUDiBeaCK22MygtZl/oOHGweg3bqNXgD
4X4FTO8RV7f28gYsSuJDV5Taxl7q8R2PUoo2yerQYmaJ3KfDOt2OWY9T8ftv2dgCkZ7djK9yFA9W
2ps+EhznmYvzDCqqsr7xwH5whGNry/I7nHkqnPO4O8kisblmgfh9Gqa0XVngSwm0pe5R+Zi88fR5
yefaaDlBIqQzVJraJkusMD3rKUVbdZLUxtzJqnLvxsKtL1le8lMXL/kL9I2D6q/ovK/Zsia7NdOc
Fg+nQEvtuSNqTxotv3hq0ZeLarbGZZ9Jgy7wBAM9ftM4XvY9DvevUR63u6jUXY4rbWK4jGtRV77Z
evKqbOKVfT3yPjWjcz8pzWmJG0yzFYRx1b02dAkdIQBltMiNNiupHkeJ5k2r8vRl1bT1TpdFZCG8
qyRnWzI+GZlM7sh/ya/KcVhvwH76T+v74dvit4RXwKE0TnF0tyRL9w5o212iQq8fsG0ejSaOXVDz
0X1DR9LMm8n2Ehg3VP4yMF26dscVqxqm3SnUJzrKUU8vJC52OfpVXy/tLNsPQ7oe5vGsU+9ImMHJ
PJjOCwECzewPTQ+6Rz/q5De6Xn+1tabfT1WrLitAzVuY8ua5xdfw0TWO3KN+NPCG64CyM3Lwgxxx
wW2Naa5UADgWHzRpr3TAlY2+hwiaj1lLCajvLEn/hWw2mKcZ/eJJJRiAab7wes/PcOWfWAnUHhwS
zyAFThloVCo3hpMwhy4jcA9m1roOrbpYm+DceE3DnMA/DBnXXRRFGrln/kUhMomM6obisXUP132e
bqwh3TmYCPeeU6J/mxCN3sV8MvcTbPy7V63Fl/OW3fMIVpGHg21p93SlDTdFbrTPoLgL4mYL4V3D
gU8VbrQGtdE5fGXUGTEwxB07falPlYyBH2G8qiiAV0vfiipvk73Zq/jarAp+hSyrhc31kKa3gyy+
tT2BzVwuxW5q8/RGI9Yg9hfSFIJ2dZxjnGAv9dkr9YfUieTdbKbrBqLNtIN8GUBd0wZnNOCb1V10
JHCYobvaNhkKnYt7pG/0YHRKpbGaJun5UCbLd9/2HW8NYzxw83IckQ9e9JxIbypzZzcoVdRF/gw6
1fmlIXIbJJNkpLOgd96uU5+iA8WkOfotPAI7W+ZuCBZKjp1ppXjlMGGQz4QIaJ4xlTBGFvUZc289
3PmZOkhMe59znFWXtJ5yJ9FoorptDAGm6px3CtyaeZh6nOKB7hnttU2Nw6lw+2hv6mO5H7F1wxEv
SbONyYd8QkJr6rsiddE9N2P0pW89qs9Wd80vS2k35gEZ4xo/i2FG5Ijmrvv/YNZ/TwFhuiChfwRk
3Qxl+vb+zxDWr9/yqwDC/RlYiIgE0yIbxf0uc/hVAGH97GHTZQx2bWAkYhz+Dl9Z5s+OYQghheec
cS2kR3/TP8ifWdkMnW8E1nLBUP4n6JX0zlq1fxZA6MJxKaw0JSwN//4YcxrHccaKQIvhQGDovjWy
4a1Ubg3Qa0U3Vq51RzScS5hrdnUsR/y8TlHGh3b20iPR2dBkjuM9eeXifMgW3TlHqLYVBqXZ2Lfm
o5aVyWa1me5xPkUXNjWPSKTXN3ewbyrck9ZgLkAZxRGeBfGc9MTZcTjAD6qrc/ZAMK7qyazsjwhL
EwWqxUXWISc0uVetgB3ZvG3qQQQI09VGpcJ4zPH/eWhmk/zCWu3ykolpvebiLr4yeGET8Fz3fVGA
JDzedF3LRduarGCNX7ssE1x5DnDKWAc2JusQP172xQFvwX3Jo0aFFRcsnHn9MerWeLCJEHsmmmM6
aGVlhYCQY9iUxW2tsuqNOIL+IjWW4jC13nw9aJ5Hthbcst91RLydCcHhJsnnea8RIXCs4mm4w47n
nPEfLNQJBO8jZdJ+jJz1nuyT+KpL7Mk3I4qOtULcmHY5PqKOiD8bMjRflDvZt8WZ3KrQuUA/kyqA
GZmkYzdS92NamNAuyxM3suYmcZRxb2WNcxh4rY99ESnICa98Qjyv7wggsXwSaXClMaa0TYPrtqnV
FeR/wompDEP61STGe1umxZWoE/q5sZ6txMwG3eA2L65aIsQLS/3VXaNvC3Z+jJdyfk7Mep8lzsUw
mNlGEb9yO56DFZTHApOKSb7YKHxPuPLto1W01mFAxflho4nHz9ICROGLd/4PdWeyGzmWZulXqVXv
mOB0OaB3RtJmmUmmWRtCkss5Xs7z09dHz6zMrAS6GgUU0OhYRAQc7pLczHjvP5zzHfgXhnIpFlTa
G5WY++9K9PUOwYs8tFM8b7K4GY9SNUN2qgUzHDaBHkATGDSFot/RUv4Ap9f0NyPlOzPVcR9bRZbH
XODAxSZlC0yqeLuWaMZcKJWqYCetSXkfWWV2ceOl3bmYVp51GsIri7aGpqusX7V2mS859T4Yp0E9
z3o9+Kge2e7aw+izicH8rdHU3smRCmMTl1W7V+PQWLfnHT2m9ZtFLKvx3u6CWl/hVV09eXTK06Hj
Yb5YtMORiZ3CzTDNJYntbIGb2E8uV9u2ymX+acUKooA2MRJPWEq4CbNIC9KG2U29zPN2KRSwHzNX
rYKJ1Lf6Ug2Yw+DCpXK6kxbEN73u7V2eqvIgkWkUU7OTBrM6G6XLXeiEpi9SxxMdSsV5qnYLNTqe
Y27GEHc7V9iol1/0RjvNzJMTgzIH4YqaPVSwRrYQBxucIvrG1DJza2mNhe4bTyJLcuc9QyQ7gIco
hgcNq/DNYs5pWvIL11sglvbcFvZ3OhTW/cIOeF8pjblF3Bhy+KxfUTbQHdAA5pitb2Nr3hwtmTcy
bzq/rsP5MXITxlkjzUkIhtebEvnLEOWFjmIKrE4vPK23lFuJSfE1LkfMIVq27JrMUq+MJzqvBH91
UlOASWVrmAH+Afunc7Jwa5WIarBo8TCpthagrXYfmcXyqk6mzuHhTl47DLVXinLZ8jmGNKDNzOCg
0k6vEVbNg2GnZEng/N7qKubPyVYSIPlDS4xTSgVWCnTUzFlAjC3010iPlnsnWsSWEWuLACOykQHM
kx81vNszBl5PMMHBbb6uwl2Qi0poIx6ae3On98JBRGUZX1WqxTW/u5zPXbMO4dRuOqpZGb7OhbJ4
Q5lV584dhyO1X3Es8tHZQ6YovkZRdKcRVr3n0G7feMgrKr+YDT3jHgu1lD4az1ZSAjvr5hwyE6Dm
YRMCDb20EQdfECeOsU0HJmVTaEW/Jlc+GwyKAiZ2OyUn7pMXYp+b0Me4MMTbUCgPfTte5oS/OZid
eEgK9rczIqOFRflbA60ykLmTeuncdVuIPfDY8EOidmBfFBgN09PW7Xn+O2bZLaiYXVcI9b5F85Wp
fb6J8cwrBaVe6trnPhW91xuwazLDPKULxD9oCY/FMkwnUXJ3g3oyu8dYsZie9eOvzDEy+oVI81n6
38UgRlMD5XeWKlSNzgD6hOnXtivHZWf0IcnlghNcsEmGIWXUQS+X4ceNugfM5c9Mtzp3M/AFPC2r
5rcKuQaTzVCy7Bys0GQoY4aeij6vJVZjhz9q2Swgwj6S3BU3ernhxFf3cmdAGRa9dxmnfp48GYZ9
0SWoGIbBcJYjGbTrBFDkIeMkKFnnBmnCcSoz82Aj6PGA7AI2kq7x3hrp6GMXzA7cEnuW/xW8FQUp
CoZt4WkDTdufGOi3CVcwWT9zd7XlXJ1Kxe5+pGsq2Fam9RqcE95UWWxbYYEqW1r31lqJtsGUEqCV
e0MmcwlTeepH5AuajO7KJta5ZnMQczB9CNCrk1KFssehOmnqUalJCB8NiAUTDMdJp0qPWTSbqbGj
Cd01mqZuujo18O9nMvNxreJPGjcTS/uzbiKI5Hf9aO2Mxt0qMl7FnJHToxGN9blyfuzJGH8n9hxe
6ilzNmMo9JOgwi52w5h0ll+WY/e5cA39sBV3fDq2/J6hGhrA2ULW5ttYA59k4XRPTGMNBa1UJnVv
zJP6YaZr8ucK7J5CvJxP2mojNok+4wzsLYyoVTjt2rogyUKfx52qF5q/OLmDpq5JvZls0EcF+uBB
AiSSOzg7YewbcftEXCCXdO1cHUVgf5OOwlrKplUrKVEitfrJodI9VfCMGB/bCG7MnNvbMKT7gJfw
ZbKHe1zOEkJ8fEGMsLV6B56H0b8xo3lGQwQJr8iMB0245bZAa73l2nPvilDGSTCruf2WijbfsDw8
RCL7TmNzZ5Tr3iI5YSncI9Dr/XE0i8hfTIlsa5VIBBEC+pwRewlNkr1dvS9Ff0+/dwOB8M2F9jI2
w69WmKg7R3GpoojWRzNdD2Uin9150bh3qcLCOBCFZfuptQBYaU3VC1uYv8Zs1heSDvEzEgiLMsVu
fTc2e6Z5RC3aFQgr/HRphctMNZ44fp3zvGAO3WCgNdn6uQUaJ6pOM76oZZacYP4ofjJAeKiXVn2g
ipsfYTsuW3MYxb2GcxMgAvAlClg5mf2pX9vjOu+Z/rWoLmOEWq0Q+Ua0euurleEeQz3pfM3Qpr2h
DHhfGuUzZdOyn+s8PyME5YoOayuABdBs6taa/HKJxbkdQ411klkfHXtgWlCO0REgwUkqU/3epwBD
BliUvg47zdhkrGXxEnTOramd6uqGGoPKtPx08oKf122qgE0MPa9tHWoF+Vpbd2+11XzWQ0kSqo6C
apb1zuqy9BiqmvIqEum8wYFQgqSOlWfwYj7Tqajn7Uh60KOD8jMpoQyoKNFmYiD00J3itXZl0x4Z
+OPHqmumMQA2caVbvKgyOoeRUt3bDpdUVK6gkaJ/rbBz49Z0mvcyYWWYiXoFo1q1wsHDplYfs3aL
ca7hs5OEXgzsgJWSq2wtO0PzIUyxq4Y+fC5olx/USHf8GhbBzWgq42IlmMiowcZbqefFaxNBrmST
ZoIgEPNNJ/EUSlSX/yqlZu9qgDC/MYuGu2msTM+pqaDJCDXPSJaYSyM2lp+JnsRnMSx47TXQxadS
nZPHKKLKg6BVJy+tmnNl5KR86n0YXTQsv7vIkOpFg2Xn95AfN1bctodwkdpehbnygRFY24S6rfuj
MspfZt27F8WpxMusacoGyA70GaNv3922jm4ZoOhHoHn6cSSLmytPSwZeevbAFZ1AwBOTelCRuFyL
+IHc8e3SCKaGEd7fPmYMpMBivtjGEHrWWBcXs+3ak0RCEaBh+xmLEQ0p8ABrW+QzpdtkhNtssZx3
bWqAkRXSuI2L1QZTp9WnqE0t6k9L7GdMzh+0rMQhycj9qboQOCwN4CGe0etaUZJc4Csme2F2FORm
UR9LRP7cGqa7nYra0Tw9uc+UsQj6aIWtJa52xO4MylBnN6MvzVWqMRv9SbQMNzp5dJYMyVGF/p7p
unFmspP95i9ak25X2acMIVgDvbAMN2M+/xbh8t0hK9w4xP561ehEvtYQ/8h3Qcg1RJyfqNdOYRxd
4O5QOWrunV7NmY/0Y/DAciSviZLO/rjk7yVsVi+JUvuu6lkziiXdkl4+s2hox9Pa5CMsK37qsdoJ
R7Jp79wZnXkMxHWu05c41tn22xPqwJhnzs/h9LAYQzPb9412NinBvFrXi2cwc1pILze8RKqAY1qr
j+kchVsz3KJN28GozI6hHB7S0fLtCIEAQsdhAzlUibT5ModLjXsZBbcxT9fUbL/4eCJomGQK625Y
fEAWBOF2tU3PbZnM0DWDYdfKWBQGH1QcwpuuSa1rTwjqEquXiPOTaHNdXWuDZFvWihIMlQJU2pzD
vZMySMzMpHkYqhyCWdzW+6F1l0ARqdxzU6RHDfjppgakcO2X2dy1iw1IWkR3g22w+qYajY4JNAb2
ajpHe5ylOmvGcp3PLa7+qusUTybo6DpPN0NeIvkoKyXzKHz3cXnOHGcEtzaMZ8lRCNtNmYZHIMbF
uwx1Hh4Ditt3ExaLQhgkIKQNqJFJ9dQhfZCNptwmU8hOHhpztW53MbPRhTf+UsqsuKRdqn1wAzaX
Sslpc+OGHzzNcOEuCQo3T1Pct95Ywhdd682gHlZaR5fM9KeygDZXoPthceJ2O7uKrFtTTNkRDWl/
EHMpbsZkmrt+0Jtvq2GV6Ftxn7yXpNh9TyhCgBBVPIwDhycvDUAMsgQOHT/k3tVH2HaWmXlJuXJP
9MZ8o5ceX4Y+kY8ddoNLZuvI6UinXzC+N1eD9/RBlzo/DPuRl0gff6o81QM6oeQYw5O9zhr/10+h
65mGMTA3EHWOqkjRrty2WiBNpNRUH2xiZuWspCD0stxEW0lhAb+7BoycayiSdRT4lOkpjy06UfvR
ziclcCWMSYYk8k6VaqA3i4NFUnBiDYBRrZlthdsY6F+68gmMwye2iLtlxnycjsmvjAHywa6bOzk0
hqfOE9tWY3ptaX4cnmEQWvNd784fZV0oxySN478S//+nRXz/P8nzmDn+lxPN4ycqr3/7X5+y+t//
dvps2WI1/zze1P765/8+3rQhZZkI9jXTFH+sv38fb3KGM1G0VYv/WGse93/4u8RfgP4KzbENZpy6
u0Z7/m2+yeRTty1dc9CtIJNCo/ffmW+af+Iq/zHfRLrFaNVmyPkv9spC7yOt79tlRxSvulEUcgGA
n1MJ8ogNl8rMrDJww5AdqqaM8bLpWzMLEOPXp3kawkO5Vp8zXI0L2qPY52Nn+3ncT/t8rWSVLqSo
rThry20vGPuFLc/DGNKaY62fD2BrDUrdeH6d3Lzd2ZwpQVurq+Kiqa8aA7DXqAmRMttlvJPayF4F
MubJjVz3UCyjgVtpJWAUcXNkMYvfHubvp+M21gnqup3QFmHh9tsS742TmuyVZCbZvoGbLNnL00tE
RvrIA9Fx1ziac4b7i/sEX0n3E9kADjwwifpTVyjlrZvrZD7V8PlPK/rzXCFK3IZOGe7m2Pxlpsuy
Dk2nfqMUXUrIlp6NHgRYk2GmFX7nIhvWUFn9VMMT88lFWN7R0KcBZmxjT3iLgKETz099hkfw1EYt
gF60K20Z4JeCYaNhgIO6Z/abWF+XO8oYnkRqV1/kbbF3R8jmO5GieWlXG76LDOWnTIvs1RZz9Rol
br9XzUp/s+MMnqkKMemYSBjspMr3nVfR13z3tOAra93Sd7HNEYl+pxWHkfqb1WeaKE8Kw9TpDohT
yJ/rc/c35+Cyz7HhRUiuleZkqVH1qTDTZTZoDswNJFTgRM1pTpeUrwIgvoqYHzSgL5pJ2ReLoQdI
venjcmv24/V3GtYK4I6SXr9ZOlaueuRd8PXGqF6yBEPdhpTlKnpujRF7sRx0HDIUWWCkc1UyDzAz
J7pKywaALev4XnCOe1rVhDFv9zq1KokpwIrSx/N9GIXTpm1wTpl8Sf2+4Uf8pEvAJCRY5PsFqI9m
YyN9Q1EJ2yzEB0f6Bt/lEJvKTJ6Uxsy2Aia/aTGy4QzSIBh5jE/LOAjHWr/ZVht+umpPn4yYmn9N
mk7Vl4jUj93ZtbZGrRXnMOnoeuhkHkpdhwO3uJWWMAnDhsJlntwSM49+4y6M6XmosWc9wfggSq0A
YNqwMN1U4wKPznXyvt+njqL+CoUyfy6oa55hvznCLxXN+K26WGIY54iy9ge6Vpofw0E9YRC7G0Jc
p0Ph3igcw88zs+J2z8Fy+tMALscVcgi3umI75n2cLFXim0MTwQdaU4BAGIAJCzD7iEciPTNa50qR
FEUCLn2QarWDOHPq1R+oKizkumQdPxDzAbgzKuzVphGKI4ykqEVNtVLhp+mb5YJ5mLVSfJvFku9V
Ne9uUySq80TN6y9abd7zorgmDm3in4CiRZ+m4SQHaTXZoZrBZjU6K1v4op17pe/RH+kxJH/XJUZr
LMeB92nC7QULGnXMWuL9nVU2NguUxFiJHl1EnfSKlfvT6CUBIVMHStW1k/grWdLxK0LIvLWYnF6W
KhpBALXKkRmavE9dgayIaePKvtdm8+OvsLPONmSB2E4tzzlvEpayMvrgi1D1xSoDt5TsoNF0P3Cw
oCEtKuu8gE3xnB5SXwLj8dzNBo2DGdnppujRntltSmRHF/YJfRdnTxJXECaJrKJZHRjuMQgxQOUZ
SJh8x17ftc7WwzOcvYlQj4RRYyPVKpgqJ/wba41RF4VM3dhttXrh1E9Rme4z/RQrbpCrt3LJH+ai
GL1oAuI1wODewnuZi83EYOXJEoN7klWOctI0k+9Sj018SwtKzqFXd4aJPYPpXRII8G6esZTZXk9I
OYSpNAairkdo/DZd63qmFzMuOiA6ytGKJvMd2QgJAAmNyk6MOBeyOU8uCufenVQt7eq2SuPHIhx8
tWzam+Ccv6+ZoKBSLJ3JG/qMPh289D2rtOxJgxL4o9kF3cecZEPQo1U/LXJK98jjE+JcBGptM1KO
lRtjoxh1CLYEOkwEPI8yvYuEHLNAM0b02Yrb7uHJJDcJePCAPerBXUoXoUHKM4sez9XfubfpbJqM
CRA9tPVAXhltWcswzatdleYMPVZxNcOOFLOpjH+nZA7ccF+ET3q1Zv4o6uh+RWjkmU01JpEWOkJw
Ka3XHpCqj4cFVlcyyz04Icy2bgEDiYGPScM2jPaDnAz7nDeL5efw685Do5iYgmOb/UKqhccoAt+J
IguRk54k2yhejEOnrIBBoTEstpU0vwm7lUFCytWfXvfvoDy2/J8K3j+guDiI2QYwhvewkU3nOEnB
Bc4h5jvcNefFkcM7uOJ0i28Bew+32G5wJZlEOK+gXCQhNHVNM4tjnRnVhaG1jezZrfUfYygLDCcc
v9juSpfVPyrDunfa73BxSkImCn07jLVyXJyl/2GsN29LrR0em4hraAOZLdsZduQcozrKCFNwaXML
V4+uEaR73JF5k2xrAfw2aqx1g4aKii7C7k8wmLXTINXRdxW131VGmuwAjHHSQbVLoKlH2Rk88AQb
MLZ24EXTY2s5Na9mVz+HY9F4IIl0Ujto97KpbG+jaJYt2iT7qU1dUiDXQdkiZ+5rsAMnR7EusaoV
h3Ydrk1/5mxMmu0zYTkRu3RsI//TBfr/0WWzfqPvf6I5/O0b/z+lLqiaalMW/1eyg7uEfKdP+Z8K
87//sb/W5q7xF5OtExt48YeU8DfwgruW2AjLTOAKDilpBo6Wf9hmTANTL/8YKljlNWz7P4QH2l9c
07IEBhdH489a1n+nMNf+xTXjIOBzmIVbtPOaJvjB/zOhBDsBZFFNDvtigHMnsqLajaKWuybVLhD7
3QMUuXcc5QA1I8hUoRWup5Sx+aeX7G9AiH8GQLjOmov8j/4AeQU/h86KDTcN7jHL+BdSiuFGSsmg
YdhbHGdg5rStaWTbkqq3PyNGN+t9bd2HMgHYOKZ4KPBNAn++S+Op41IxnvravrQ6k++XheGxWpwI
DKu8xOnEJuwcf7TsU6URhjEOrJVE9zD3LEnDtt6IyoLA3j9zDJ5nAc4rLIJUtvcTQEg0qkfdqCi6
rS3DbUQG0VVJ0T6mInvq8b0ErUF1YGewTe3e8oU1cHepEfPdiW/k9w5DFtzqb21bPTECAj4w7xF3
3+PMNbAuZkDtOBgMo3uLLbgWEYFsW9yIm3KyzkMhta1gHTbrd6VSUg4Y3uC8Ktlyi9L0sbbQX0XT
HlUj+AkEpWQwqXb9OE2CsKqcveTEqtykpDcj1BSTWTp7gwkabsFL4yxHSGA/JH/tHfVDadVnO+Lb
d/ZdI5qbFWo7vSsDbVL8UdfrDa6NyLNc3UM2G7Ba/Crz4VdSG9a+XyDUF5n1W3eX8NAKPWZvbch9
nfW1P9nLqdPGO8XpW6ZjZOuMWElwNTyyCzs06o2lsmdBIWQ7MT7WU3SPYGULYj/l1cJbmhdzkKCo
tUaCSYxnyZwV5hru4vaxLqbfTLEOU6u+Ly3jctBqm3is3qIxIcogOem1IbZA6HwZlozy3Wc+XshZ
t6qFhNREiELJNbBCGS5Y3d/CajkNlnFrbJeCw+6fYR37msYwmng+dWCpgPPUJOashIW+0Tpkww1b
6yzMfXfqPlLgaTqX5Ead8jebjyZup+cEGcgmVItfZU160RxLuAcpXhRVCWSKDaFjeRuq+Lzn+dhZ
RWBro4c4+zWV2pMpX210ZNc0G7NXCupTm5kPgJCGnTPD4m0srlWUaD6++hPVhk/4276LszcLNEYG
nACxTSWeWyh/G0ZCyQb28oPOQmOjjMuhitJX8DzjvmfyOaQxK32bCIOa3AUk6MK4mvNDQ4ifrbpe
28RiU5pzeTapR/qegWlvxfcdBW4Qpd2e6HaE0cyD/aQQ4MHje9LNzkyYvAaSfoGoXCBi4ji4TxLm
tHRFr9XS7ZfM+goXzK1jkW8yAIJ3tashBo0ycpItI4AU5rdO8iVyZ1tn97gOvbHSHqSUTCPNba4u
L6oj9wPWFEA242ZZrFfSMj3E5Ts+GnBLY10ejLI3N2hGew/Y8aXstWOso6nQl+eEGtZHafGeAAHw
skQE1iK8mZi7Xk5XfL87XZ+8YnHs01CMQVTH3xZmAS1M18dJv9J3ocHpxDVxo8OUuR9FVh+SXvwq
M+2Q1ssDdD5owegvt1le7EWhjue8VtJtaU8OQ+/0thKNvCVUr5FhY07X7hucFCoLrsapeZ1U5eBU
yR20oBFmnjF6VTNszRkBC+kg96IJHwDjoiFAq4t/YAduElyJoI7ipPkqheubs/Ui0S1Z/AI1Ywbf
UMDAnEpMZ82zzSQ/LDp08bLCa9ADybedl2WcH+1xjHy40ZPdIYYKN4NsnlTFvS5G/d7l4kPHqoJc
6azioqjn7DWbsT92hGpEFkWZUgboA4KF8chtNpUbwQKHCUxA4NjFsevNBAsf7vLaLDGF2E26t53x
gDd+r+vGbmmq30YmdziHPtFYJISJhQdS6xAMhTz5RU18Dh3fD0LRl0lM6xSESS8IEhAYlRebeRvQ
kNAwa8XeWdxPvV9x6aTobNxOJegjVj09VZ710jhPkOMCnrBLN2uvNdKK2bbrwJQYJwB+fKZ0CGi1
mFR14/vghveF4jxhmTirQ3dZaCARQdnzrm2yO70ETRKZPytwHeBllPtagqWQlxXA9102jFtkLGw3
kCHA25SU2goD9BjAo9dMYYB27sSjd0D7zs7FVO6baiD0IY5oA1LlDjcuKWtR8gsJGcP6/KZ2ecvL
HD20eb8jZmJNs+CVzIJmdTq6xqFczOPYjkHeHK248zLbgf2HT0Gdw6Ml3nsjew5lS3oyUiAk3NhC
vBo0PSibcAu1eFc1ll+VH3FbXKRrvw6NdiChyu9y84Tpfj8O1Zb8IV8DoYx/xAJoilUmSztAEI91
SJ/Vmfs5uTB+e50lZJkx37t80p1cewOgddXHYZ+RA7mx3R0BMZkv2nC/kFzAMKB5gkn92WTgOWOG
MUereWXW5gsGUtbat7n6fsz7s2afp8XwJSJGhmHNg7IYdyB5tgMiJ/oiHnlF2Pdiin+q+RRhkSlt
9RpPv+WwXNjhbNMU7olq/O7CkmClHnQqAGjqNw+Nwe9EL37FkXk1rO5iWM0+yaIndR4Zk61YpsZ9
c9LJT/vfndC8euboxMrRiuYi6omHsHzjEXmpZ3G084/Byd5RTH0w8vPbLD33an+l9vaMUnC8hPGd
4NBatOEBgNDRHqcLHhcSzOQVI9KHjAAXzor55dr1Zej1fTnNdzbUAPwlhpe62l4apItq/We/9G8x
mvUcb0+mpd9LU3wxfDvFyh3wQKCgxDAIcp+suLprrRYZiobBDHFF8qjLo8GhEI++ybGMFTpmK2h2
fdBNiMONuyV1DqOeX1U3+RmcISD1i+kMXl2z7HbsxfMhr/HwqHflSgnJ3focmdlDU1geu8lbLwdC
pcAzye6dSI8cuu5zamYwq5QthPRLlbZ7bWzLjTEkL7CmxUZZdCIr+Gul9/biF6sQbhqZ1ba/THc6
xUm2h7KBz1Y/m2xQ0KvmB+QpAQ38yZxS0FnWSzM1Xy4amaAzsVnlQ/wiaqX1SD1jc5XK5wll8MOI
kdFj9+tswJBQ2JRlskPPjqi+OWZp7iETB/lsinv2r+9ROn/rYf+K9W2HdAQjrtm8NFm1L8cUHSfh
gkCzLX3YRWuW0/JE2tqm5+DNEGMaQt5q8htQRuxmTQT2oGDpvUO44HojAX+uy0cdR6k7/sbD4vXJ
Q1e7x1G692GXXNP2iDbAtwDVT7dpiQFqbmOruNZh2fpES01+FsfcH0lAK3kjNgPyLxTPdNwt7jMo
rtdoVG9Jr3IeOLskesqSbIcFBX+xeb9kDomu/XlS5cOg3UuDDxCA9SX5UNQVZvLHAi82c/o1jt3e
GvVzUmEaUuoJCzRwaPRmv93iJebZnGG9j1oE/qLchy6NRAUiuzsn2ozJyHmyANQ6ZveZkImkQvr1
xerPcqgfesV+zSCyQ89+qZEZwpw49PrJxbeZkMTDRZutOrVjLa1HTT4NAp3CbI4e+a21C0bFom2X
8jlSMeeRb5wcXVuee5sbGVrLcrTDIrurHEt+KyJ2g4J4hkMYGg01ZON2b2LMype6Y7y9kLjrMaKc
fxcoNu7dVHXumswYfg0Q2gMzc9UdcRH0DosFUTvsHU93xBSUQqjfVpHHD44hrZOKL5mc1sySrAWr
7KW0yeEhV9S9LYPBK6l08QfU4XGfJ0THbVJFwIsii+OYug7I8VjNmHOy/SXCITkgUYj2Nki0H76l
823ny/KlSAt/qJi7Xaim2mNpNcZWs6Pu6sRzc1QLVFyqYjeP9HvUxxRm02aASPJQy8x4QgA/eYpb
c7ek8XhQtRat2GBGh16Z9a3dRNxxizL54aw5hwg+N4ljQ06UZVnVd0WZRgF3TeVNwl1w2lTtypoK
j3nTt0eCiAaVIo7Wa8Kvc7SRcd51JlPzQp/vSkcfqGdmlUWI09kvYGXm76os6lPaWeE2spboak5L
+U5YgHtJjaJ+ptHh+XHaSH45qdW/YRgUI6anOL2aQyeeBDSbG4kV80M7klurjY24DWY6XZvSjU+z
+TIATgMP3uxcULS3sNTMZwWLyrApklmHI6iMW7aXHGXLlD80g91fxgRK+cyF+YHcjtRC4IGMb6fp
K8Updt/nY3fP1Kq95r2WHiQzcnpITE5ulCARL51+q81FtMN3h4rAIGEVUwrr7hA3KPlwcucCUAbF
vILkM2hVDMpDUFT5SD6lEYtXo4+Yv3M8faS4ZS/V1Bt7ExX9SVmWmTMFXAChqPflBLCBcKUEWyyw
pvmq60SAof+d2bLzyZzxiLYz0dGM7318zN8iTxU63rYHAhYOT6FiPTvFckUP9G4l+Z5t+wFxs2ey
b+HYT/aKNZ3qBOw+y6tA2MJTVCQapuIGYub+Ve23UakPw4yvp9fMXxaMCFyDn2aTBXOZekOUbTv2
ZdBfRy4GU5DWWjmudXEiU11x169AvJ70Ar6S6lxys/dh93jxKh0kJGbILrravGha5wYold8wzjJE
jRIqSmk9DebwHLIDr2Z8c0TOMLDNzvOkHCJnvjpJNBwqBve+UPR8L4ny9rNFv84O7misX5AsigBK
2h2Zmy0pXxTlbYIXXQeA2HRbhuu6XwVt/9ozM+zK9uTi6k5cZwtz/3dVtP+XbHljXav+07DDYTtq
EYcg6DVZywJH+Zehi4XUPu2ENULceaXNT07L1E/kk4JDVbR8PqpWUV+mMloeOJ/i25hY4klL2/Ta
IEwD22MVAzqDQX7Zfx6VbH1qCN51L2J9kuL1mcrWp6tenzPtzxO3PnvlEhEhYBQMUEoezX59Rp31
aZ3X5xbvWvsS/nmYpwhzF5tQ5RiRJHM3r0+9sz7/jVtGAZKI+k66rbsb+9GAUxaho07DbPYJKQ7v
oefpW6zVETo+TpllPW+ikJNH7cIJY8poPLE35FzSWurzKI67R0K/2ke1bCVadKs5VksDYmkNHXfX
k04PBWfeevpZ6znILN75VqJS+9HXU5LIoOQQ46B0K+Bt2Z/DtF/PVSWJ9ED+OWzZJ477OXPij6Ki
zqjU2b2ZKciW2NCzFzi0NAzjyPFNipx1qucxfjDdUvsOXWUK4HOulGwu+T+XQNmvpuP1ZmjXOyJc
b4tyvTfSxJ1/q+tdAmR/oGTlftHWm0b5c+nwbpaHyOImqtc7yVlvp3a9p0KccodpKs/leoehY2fN
x7UGl4zVp0OC3y+GhCfHdl3kiLrWIs8EtuXMPQazOcn111nYDLUkFp730Z3wYc6khG2riAFUxmcz
6K2BSbykgGNQDQdnKi52S4R1HCMi1Ss9vgBY5NfzelvRtO0tBRyaZxIO8GlK0Zf70lEXmpuy05AR
q3bjJ92f72hgB/Fs6UBCm0IFz65TFnHstWWZo2pNrU8HDdVJphwS7Egc+lWYQ1QKkjQaNoToZr4M
tXoYjBx1caWSVLPFjUFdQrfg9bXy7+ydyY7kRpqtX6XR66ZAGo3Tojc+u8c8ZkRsiIyIDM7zYCSf
/n7mSqmkalVd1OI2UMDdlVDKVIYnnWb/+c/5Di5qQriAUXtke9Opp+3YNPcx0+ZBGfK1BaFGNcLI
JLFwr1x4fIkxYrudp21ghI9p2jzmfYxNAIjfRnsGrxVVG1ufgf0HQ8w3wzedKxve57ar5RPGTW5A
hiDiWowZb1iaQun2y+995RqXfjJlWw56qnPMLHn06PlduT2Oqth1HxMrffSbhO7xJsgOJavZNWv1
U0StHA2G8RTv6Mri0tPn2Wa03TfWlGglVvKFhydb582CmRjFbCssMtvcP1aq4F9XPBjAccYXOqeq
E8Z5m/UL/TekcMS+YcewsVh2AHyQez8GOZCXFKfEZgP6mekBG1n7PR/MO+6FrFDcqaE/Rj3V1fRM
GL98UEA5boSfx3uJL9RfRQSzLmNyRKxoo2rfg7ndElq19jbm+B07PqBwcux2o+C7VvnomiENz8Qp
Z48oGZivcvRYq2bJC10Eb46Vc4Nw6nZPBV+/x9JO6HnJBx4r2r0b6iHWrdVh+q0x3mmb3BqXErGF
1KHylu55rha1yTh/6zSYNcnNomfGjPwxxVDPFRutbTBrRKKeB7pgJKoqnWNkgwZc2cKWT53vEubq
nfAo6sA8ED8jVhx6nxar2sdMGAtPAS8UeL6fTDFfGP8fY3hm68lKaOYzInldV+zIK5fPLg/IIAfc
KfK042hvuoLm2dJaBXPyPs/iReWvppPCB4IG1ItkDQ/idrHgc8xZ+eV2yz3LZperMEWbRt7nNg0L
ntgydJAla8W4sVNejpbJ4MGGnMOqku2Dxss+AeijiduzPqaKmjmnSZ+8Nj9YLS8uAJqKybhuSZZb
8WVEQ+3sqRgtme/X1HJIsJdPNgjS1yMuevAB1Ckdkn6sjrEw4kNEv8ML+3yGTLpzyM5mI78OlsGC
x2Nc3sIExAdxSmq8htxYSwfRC6Jb/R2Kj32MDNe8iFWQHukA7G5CQKO3YwcnCifC9E6XBLcn0XgH
Nvj926jvVo2+Zdn6vqVDbBup72DC6D1Qn5WxCc+3M9648snXV7ZWX94GPvH/3Q3VHxdU/07wcFay
xF7xvBJ95X8IYid/WM/8D5T45ffP79mfWHB/+Rv8pMKZv9jChx9OzSWGRNo7fqPCeWRnbQvrmB+c
/WhkZ3+znXm/wCEHVsYQ4gWu7/0tVovtjD8dpjPTxhznONL7V7Zbvt6T/eGm9bvtjN/mP/5I9aen
DSU26+PDP+joJGawXHhG6e8HtlzgdBzvVIFMAGrwl42djhEO113gz5AkideQWffLGmmvYI2eqCa4
L5Az7rzMlNPaSylIXP0s8yQ+YdCLM1ohuyKTIjWMFaxekVOMGspJJa864dgnuF7q+wjD9r2OM6fb
tjKt91VRtgW4Vt7g63zseF8paMtv7cwLemVXwTTvZzJJJnjYfGyOXUUHi1alJJpWbaXNKfUpCqXB
3YnW6dI2j443FA+D702QoQac59Pcuq9YoorbabJ07uHcI9oC28x3YmaJsQK0Yr426ZzhAbJBBayD
rPfuJxp3WBam9viROsZ0IoEqT9YQRfeO4dCIoQtHhZMO38ywdW4xMBT3XpG5kL5kcJB5vexHioC2
DCReeDlyWUa4wDNuR4hKwlWGvxuH9rdyUo2GjckJA2nd4koehxVQ8OWiNlz7SzOlH5i8lx8JxgWy
blHdvC4ikzfBMKfWNu7SkJW5TKMnDLLwp4eh6G9jjoRrqnon4k1TzdVmiOYRcm0S4c2ORvXkWa7x
3ARUw3GN88wnf7AItQYugvc2MXLz1ndj8Z5aivq/xW/WlujZvk1mBDStdA3OR0Qfb1vUYXCR2ll/
mWIhhL5it+XBS5ukO0pulS0EirJ/ozoVi4kjh+4HmZDp0RkrjeaUYGR/FqgiOVxVCLPdOqLyMt/0
gaTyq0m74IYplHp4ADLg75xglFz+jLxKriiYpYO2wBUl6UsDDLUr5OL9KDF/gFfIGydc12lZL1uX
hmMLZUCXrfYObLgFI/GLqQ95CEIT0CpnckagUMXc8WHkhWKb4WHr44OdhnWCCsvnN5KrXtv8h6ZN
4szxvUPAseXTd6OXAqjPF9B3bz6de1mz0O1xqjeD9VFTZ1is4pbA9t4uwoVHaoL+hhwBzeJ2zIV1
OQRxSYw2z/1jrFT3wfJp2hptPZQbMyn4Z1I9xqVlJNzHx2EI3mS1LOltH48um5opdI6pmounpo/k
5wx36xUSREik5W8Nr5ZJV0ZqGpkE4VaqYx174EpjTBIAmgyMsRtRNjjOCSP1lAYG0UCDCuCNFW27
/o9fe2CzLgBT5uUOrvip9+7MIewo8P29FtagI5LiC6f7BtvWvEbvWHbO0PXVpognLrj174WxaBnO
qnVUdbHgRNuNOabeLSF/NIVkDLGDi4C8xblFVtRlzmeB0+uftsjCRkECtkJ7YdWtq2RzU1WoFs7o
EHj03K3bVeNHsORcEK0U+Yzs6NJf5YCx7sFX/aNaWa/OyNGSVrZeKTBaPnuji9yt6M0Zb3lvXA2s
jK8Cdk4xzaHSu6eckfz7uXSWsIV1NJW7HGQXtvdUUI43XSS4CFLXYGwiGslfqir2tiPQ8V0XhuFj
P/DKWesGtR0rUfxaTlAje/YmCxs6BdO3MlHVTZpjZyObE5AnnabjoCvYhtmu/PUcQ0Dc/7HVdshq
clpSRfUrN73s1cP9pE6B/Vclt+YcWTdklRgP8r6ZT4YzKcy94KqA6FPPvQkTAySniW+05llNq/fc
4ULZy4GHsDEHhi48Wekbq8v6xWkUG9ymaTVXcpC9s5PuIuJ1laXEo3uv/auqXOx5vHQiUzYb2yhN
cRFTzK02Ix//gjLXwzR363nEDUBjmkT/nHWDblO3V+zRAFwrSlkyVvAiuKbhL3+f4ij+irGrburO
TB4xfuEhC+hsQN7OM3+fnqt286jytiiCdY3hyEsOsjRZgRsVIrAcmykm1RLmp0GNrC6dMS+6dV71
1TWVBYyeVtRFG2rPpltVN3Q+G4w6+7GIzaOFrRCiMSDwNbtBB3aEbaeXdmsZAC8r/Mqk9OL9iJ43
TKQ4Ypi99artxoV69breDkVRMo020iSjQ1EjIgi9vmZuX6gpUejf+cCvqvgT3tWV132zc1+dQBSa
uLHIR3FHzkicwE4w/1T4Sy6Jxavsu4Pn+vue/nMX5kD+ivcUoqZb0PGN7Mx0Ugb5Kba14m2lbZPR
5hI6Jrw/+iH4CYx9a93TyHEnrCog6ASdJuc04KBOaPz7c02wLLv+vgyH8Uty+OztqLdPduB+B6mO
JQK44AG/YnQQfdc92ZNjH/zM8fjq6o54+P0sHZMA3Q8zRnA7WJbNrlkNE+0Hfn2yYGlv3TkZ0OSt
BUJpAkZ2o5J0umSV21+WEbHeYAyzq9zhRa438QQ6rAmJfY1mRX1n7+IbJ/NtWPsunYmULEmTHZek
q+5FKnOqRJR96ft9erEEibwY4oElbVIP3QsDZ7DpnNL/cOdQlCu3lM2NJCh+Xxamd0j7HmCJrEMY
e5MhPhF5BM59q7xrUlwfTb4kclvQUHownb5+MkszQWnir79Cw3sp4swrSOlmS7dK3MhcWV7qXZeQ
Lj+sBHLstoUBuHbbvobNEzjrpW/g1Imu+5giq751e+rIyhYaxlplKROY03lbu/JibE/AQ5nQapvc
kSO8N4wsKYGyIZ+eXJng8HNUEf0IqYG/KULDvoRQ4RXrvOBbuFJ1b3GAguZ9hbLuselp/AdD2ijj
jRlGrx7yPqTSZJzeDCARb7pcPkHYSKfnGrbiPvZrD1eBa5+CSWVf/HnbW1zL83uwDAnqTT13XM+S
Nsca25JvpmMJ7EPaKezesCJ9sXKdeb7zo9bfAY5Vzwsesp0HBuU7BT9cNeouIzLed6HqV/StYCTE
IRPt+atSl7+WPXtJ2N4lre02XF9cugb/2PtcA1RKTl5Kxex+6P/W/uwHk5vvciu2rklJyW/CUwyS
ghjGvEvGYrQYRv3IJmnd+hdJ5C0Fivj0e0e0v5i0Hg6iYZcTzqp9VYQF0k1LEUC1TpY8vEpcgRUH
4EV85AkJFgJ+Sf89Ij4GFM7xrfts9Pj8O3+AyoIAT8UHNNZnKePmniAm5Zkt89B9OstgM1ojMDhM
aBdJ5/g3ljaOJ2cPOU8BfnLOXeK5nkDvX2Xaco6clIBvJH/CJrvt4nJL0SLjq3V2q/tn57rSJnbM
+/jZiUjhbc/PPvfq7HkXZ/87fwtgTKag8vauRSY4zwUtH8vZM4+lV36lhUGHchkY1lOg7fWJNtr7
Z889vgGsYtnZix8Q6iW9NzQ42/I0xcnd9bE2PkRfIqqS+17b+uezw587JrA+qpDxYmD+H/ySRlGv
5RVVIo3s5nNOQOrIAFo3fvxzjsA9Rwp0uMA85wy49eJlb8/5g6nWWQRaaI0vNLaFO9rQHoNzamEZ
m2pnhOW0bT2br4nUAQee7MHaUvhcfaegpBa39B/T9DO6WDLIttxSiQoTsDznJsxzhoKnSlDFQrAi
JCRwtHXYIjvnLmb3nME45zHaczaDAkNyGjih+TNZLfGN+pzkaIIw/6pyzCcArGcMZLDCNnnYDBsj
NcADDBN/yToc0tvERPDVkBghX016ZI5acxOx/9sC2uNZPOdMHB05iXX4RNdBccHXkRSjhyI5n3Mq
4TmzYun4ynhOsvg61BKd8y3inHUhyR+eKh2Amc9ZmAX5856Tm2WijRh7gZpVHuvezGoQCZW9p+CO
VWTjpTvyE5SQtKLZuoJYzYoOleUoUxjPBlbDbVAZ42qYu+GKP7Q8AYQ2Kd3pmy24M3DBVgL9wOlz
ertVuISrYGxypETW91OaDfeVHGjSK2hPhmHSsKuBmpfcAR3Ot1bNsmrl+IFzYRaC65SThVvhhu/c
U4M9Jec5NcZ9R6wliN5EW/TvM5sONK3EArszi+wt6irvLlqsbloxHaQnBJ58v5DaWM+Qjx+nKbyF
yWS9QgyP75yk5XspJrIaoetMJ78Z1UHWeXRBL3DG5+4mJ58WcvZjdArtq8wU35p2AbhKQN3VN/TC
3hFxIOvoSamplFHKbTZLzHdnVMEh4VrKUmBKKf8CFMQYrbty25G0hDCStEdaXPIj+ycu0WaRVI9V
xI2XK5x766K1Psilso/oufRqd5j+FNg/UHepOz42BsmMFW9ecXQj2Coe5RCPhGtC9i8C+rsfDjXl
YFFCenMYQR/n5JOvoTnHJ4jF7u2Ifw9B3/chdNiumV05hj0cYugB14mg5GIVlikLn7yJ5o1jFgYJ
psE7hkU0I0EPaf8A1TF5GvJhvA2MyPngu2vdWnEb/GigVu+QkQkPk3cCUGEoaX3D0Mmt3srSI+ji
FHMf0JkV4rlcFz25HHDHol8NfoGmVw66UKgo9tiuMDKwBEFFdetNmMvpgvQtJU8ev8kqNEp45n1U
sS3M7eFby1GHkV01+Y62OX5P3EoPocAE0MeDgdFxqAWkdXYsmPpSLFu2mK4qhEprrW8uzlp6cflo
FVa6c+WY3lZSfHkMg5zKDYSezQQd9HKWk/esj88tGXG/JNIj1bPLoczf5dJU/g5XY/+ZSfgk/8Vw
ntdhaecHe3a40fx1J22O4t6t/59Ijf9OaVVp2uwp/3GRxCEpvn/E3/P/uG2/f/7o/iQg0iqof/HP
qGrwi6m5eZ6G3fmm1OvRn1FVh5JCugmx3fwqDfL//KYZ2rpjAh3To41cCEoJf3fE01JIfJXXDyKk
453/r3+hixBN9E+aoSex/FuBRVTWQjC1BMnXP2mHArdFrQCEsrIOKWv0upmm6ABVpzbm5kNydmxT
Mw6eVeP4exdSxKogY7PxVMq2AT3lk06o8pCNndhUor8ZiqDYy6JP3/I2oxV3cVm2TX3WfDS9iTex
a5ib1BxdG2E33dOqaeyYgFnjcZ1tP4OSQOQUd959bTiJ2sZmLWHIVgU1vtKNd6NRoEcMVwlX8gtp
BhbEGrc/4qc5ui7Q4tkqzV1SBzfmkDSHGvnixY2a4DMz3AHidzyHe9BVw84uLRtiZppPnxGg67fB
CYcThRmCHcLU75euig+ODFAchVnuSSwNm0jkV+xA/Bs7DxXRwZRNIWGTTQMmdKWYzw4Jwd9b5eJs
CdIJc2phu/OeAgwceEuY1E/jUlU/EmAfV71p2KfGHx5hvARAljv/1vYaokbCGRM+1SqkGIiQfQ1N
om2ZSmMa74GkpNoRPU9rcOjZSzfM5olzsz+VmQA0UIxXYZYkQF9dOgGJepLUq+MjQENvbYQLfJQo
85J37pLGNxFGPuaHTl5Gfhe+0wjOGT11jvE1zm5/VdCP9VKlorjiL5yf0+kRG0nIRY4prxXdkuUG
wbtaz7RIbUPT/5pkRvOGBglwIRwLAkg1XmVKeFTBFLFaWAdRUyiASrEH5YMyygdMbekuX8JgE/uD
+TJGzKONS6lBgCS4qdk76w7H7lALEHRE1fjRI4GTKCLjMI7OCCxS2ekFUvUzxfeshxJcU5J4I5kw
gmH9EtuvE4V+h0H4YH+lV9wkeZ5661YTBV1KL7grq2Ljhd1WwS3YCAq6toUT/xB8JNSAlbVzbVlj
ehzALvCXbl5ydSkuVbUEn04to6dptGDSKLt4nieRc3CH7qMquVxwu8EdiOYNGJ1F713XENFAdTTk
xmXdxU21HerPjl0SSSr230NU72iXENeLPRe7VLnTNfVtAytXoperxAzyp5xAOxEDtyf+VPCZUXVv
boy2HN4WJ64uwJ3VWBCBkCxJ7e9mZbZsvtPPRiJjWoDwaiy/z1k9VStawmDLGtGF087pRiFZ7Se4
eE+WPwfXMT9dr3PaC+RjRVdiEzM19pUZ3dqLJXW9i43oamlPK9AWc48INJLINee1VqBZjzvlB5SU
LqBLwGgOQKMh50002U9tdrsM1Udnce2huQa3jdoIszd2baVIy9r1wW/gpDAVPsYNuphVimPNWj2j
qcE1Nn94V/9FAkeHjf6wKTm/9YQpeU9bDrxFinn+/NYLmaIVl5twTzMd4MsRYp65qmvAVDyOJenY
HKuQKsTW7sqXfMrteEuwob2GmZPYGPtLCJbLqL5AU1HhEJf5RTDC6VwnwiDSFtloek3e7jpPJfbW
tWNZbHt4I+EKuTG7Jw7O9zk7f7fhaqFhsUWXUPf0e0E58zCv1WjLs0c6e/vnPzoXwb/72S1bsKNi
f+V40uXw+bs3Pt48afpZZO4tJ3oIcmZAPHMPhj+9kStMV1YFU9MBy37J1OMxQvJ3vPOJ+vA0tHXp
sQR3WoLdS4ymNy+QxFLhqA3p7/EHtWMRq2UQJF7DzRbLKmIYVEkxtG8+BGvc+M3eKbuTyIW/zrLk
o2kmOkYWi6XM4LdH7EPNJmcSPVFTE58Eu3NwdNnYbDNMiscSGoe7NjOz3/I5MkChamyQnpO9E0zF
7eCp4K3ys/JtHmmcV25evovCHq7ptWiuQZHHu1hZeMZ65b2QXw+PbgFwlvlwvOcfvR2J5eQlxaZ2
mka1bIKg90mZuw6KDGucCmP2JbUl85Frc2+sFFuLXdSLiNHZSEew7VG35o+tWA5k8S6TgbVvFSbs
jEMWu2M2wL/mHbltUYKfe+HQAISZ/zm102DT0Jf3xVYzwm+SZRcg6qhAqZ30ggbAyMUGKpxno3dI
Yyy+8WB3MLxhO0ecLRRN/GhSnA7sYtxnx6vK2xhq1S36GVBFzXsCohFfho3ZHgRpcPCVmx706oZZ
GXgYZIZ+5Q0WIp5S6m5SRXY9qnLA7JzDMIwlHUWwsDGCz037MIgcI6pYwLxUlniX4Ocfq1ASKg3z
J/ixyl73i4P9v2ckfyMVDVTFFv0lJqd4D6Nnuigj370s/Mze+W6eXGp3FL5+MoMgNmm6QNagd8Rs
x/rSq1V4Qyllfed6ymv2AIzmg1O4Ofsju2S2VYyG45LdDiqurlzoDxuc/DT7RXZ9mlwvuANFI455
Q2+SYvnu5uu2Km9mET8wn64a9jt7HB1XU+ca+xRE9zrlmFjPvKo6/c6KXN5eEACag43t4K4AOv/l
6zccpkAoCW2wrlRLAHgE91kCgt8v5xcj7RK8JHlTyM2g35ytfof6kAbjFcP6wosA2A+uWt63s37z
Tvod3Ao5nUpV8c6tRTO/wIn0dwB3eKNbVXOP7MOSxLSGN0eR4Ktyz6PpkSaq4nwwpPqMQMrBWZFb
eHUyfYYQ1k2MgycWlgmQLDiCzKBm3A2MuaeI1mq8x5l10E1X5xLeoT7XKGBFD/TJ6Dv7zvTbkzHW
9a7T5+TAonSTnk/Qso78d0UdEkcFzzRkMZHUFyBh0f/qvgCxF2ZqH8Y+rOX2fKQvJkylaDZgEZZO
Mu6sovHAM3T8FXnnW8OsLxAYML8WfaXAv8vlIqPKigIQzyGRzr0Dav4qDOJm7RZxzwCtJ7PQGKYL
PP71JtdzW+igaGHKLPY1Vx/0eOa79OeoR1UCBiJ22VM1TLo2kBlUdOnR1pNiGhUCFqsrr3u0svty
thgnkcDgpJ5nzAVJBwXY+QAGP94m3Zw8GXoqDWns6uDvMqv2UWxsjLDFVgwKOKG5EMVrRSegfe3q
WbdlqrviTscArM7DMHd7tsV6Qq7DuoDDq8dmlJ32fWrHF9MFxI85XLekEprdQW+1aJti6vb0/J3q
SZwOD4ZylnfjYxT4jOq1ntppEjNunV8neWZ6Vp3u7RT4zppGLJ4PPfZT2YICUJltfrTPukCRxGht
8einHLw1wsFZQ3DrMtq6WljgYmm+T6izH3ZVat1hydAgZr5oO6UWFgIu1akovhYf46yliywd+Bbn
WtDwtLShWt84BVruKDAan2iYccuV1HJI3bjRXRIZJrA3/3bRoomdt8V60kIKnWeYBM/qipK+exdr
yQX7EsVdZx2GFU7/Hjlj9FZrmcZk7Y1YlFE7goZD2UJIZxuyTs+e+gJrFA+/4fVoOloAMs5S0FkV
qqiXZsU1u/I24ccIs1Qn+VIcfmwiq3T5YQqDpVOPCrPinYjaVGPi3PlagnK0GFWRWDyNWqBybLo0
IwvRSiWoypUWsryzpqVKn2SYFrpaZgB8Vu6JmqOvAioBQTV7zwGG3h1ojcxrHZ9vuxbOyhT6XkzE
Zc+bh4t1mJngDRIsDVXxbEk4NLKxhsM45PU3hXH/G1Cg9kd2JtcYZE7GfgEkZj7b+JdzyuUc9+jI
6grfwQ0YWs3cZq89TJO7zfA96q6eMydnnAKU6gDR6aKtZX302SSsiW86LA1zMvd9nW6t1plfE4Pn
1Fxg8UzKoEFI83lEm8h9hO9XrfFhca1fQPOu1DSQSgHvM0AE3NMeAEjRmolatFiC61lE88Wg2UCu
pgTFzC8TnDHYQWNGq/zazjr/EgGGtw0sw/ShrJXbrRbFJi/VHCJwiTX92bCJglRjiozQgZzrBdCL
4F0n33NNNAq9uj0JTTlKWWeupjEPj2oAKl9qGpLPDwobIzXA2DCO3GQubVVl6y1bpXlKdbhMDE62
vcKrOR+nIBD7RPNI4bJ6L8UZUhpqXinw4nnn0KW0s63Be6NnjIDxmKQrOroy/Bz5zLe2nU2gNWWM
h76uumOaA1oMh6vFM8llJD0EnND63o8Ge5Im5HisH7vMI2UJgLa7F1GL810lyfKZUlAOas5/LvqS
S/XA2b5onKsaW7X3zYb8XGxPe1NjX5MpN59ZkDekxDUWtmnHllfSiJYkRX1XeyGIH44Snm9qG/tH
5Inl0a0HNqKZ6Q9rkvuXbHYA0FaaRZuXlbhKGdlXRhi5V/SRi7vhTK6VZ4otzSnGA6Yn+9bGasDW
7z3sCDopnVwT0RK7N4Y7y0ObZFyLjPKq8NlImo27YT2LA7KEsOsmA8VHk2DGmACjFs7nTB9QugvO
tF5jhuqiAs/a1BTc9xrqy4Xwoofy65gDnvG3CjsiYW7SyhYdiCL9Sp3oOtOEYB/H5Z3nhM0rzxeH
l2YKYyOJLvK4rF/McWR/BHOfJa3BObsP+Ea/Lk6nnsDq2a+4Yp1vbgrEuKf16dhpsDEnQXzpatix
H6cWbZo54QCNQqbR8QjXkJomcl+rYRriuwSLA8o4SGW6VxYskqDkWw1dXlJXrr0yc/KDz05m4Tz1
phcoJmDrysqy15XuWox0mCGHor6VmvC8GMH0APYT+qNB09+ce3I3gRI/yMphkI25yc55OG/HBAos
d0ioYeTjQUy3eLRuHQg5tAoMEwEAYIKZsOKnNuHmN4qe2GYA0dqXbXCI8jz2EKLpmUlCc9jxZxCA
h4Bij3WfvjRnUnY/sfspk+I+KnmJrjBpLbtRH7h4iGh2t7KnnH6iUya7YZ+FNReyLIZVDsq42khX
PgZkeLbLUBMUOuO8O032dn6FfOeGctcFPnQ2RKXJC3tp6XtywbcAxRXVug+KYVyNPb0oMzLo81wm
1NhhBPqoo9I+xOyr9qH2NHe9O/NVSYpDKVh09GUJKd/P0nCVVrzNlGrg8mQOPWFZeCEskq0lJdhg
bnDj2yzGzWMELNeKQ0pRseWKbLK39JS9UP0o17GnTB1PnE8ofOWG6wNuOW8tglzx2RascEDlF1dx
JijVVKO3QSdYtsnkxIxJicds7mc5DahY9NIytI6qrazPZWCHT1C7/IpDhftBQWjybTxsjRFakAlD
WhRLAJGfIq+y1zKhHpI6ChHeS2MEoMxF+5ZZpb+QGPaPJhumeuW4nf2cGnJc91FSvxauTSdinVcX
KQQe5r86PdQ6q0wpab4HUtVckm/vDl1COnviKjmlHpYOGSy7xUutPd8w+6lnXLvtjTReYY9ut0mB
9hEHLK1NlqJ9ml1UwjlN3WH2+TyHMnjtGhI+TezfixJje6q89NkFZHuE4Ztfegl7TmRI5xiSkYxs
F7vDP5+FxV+NwmcWBw04gTADbaj8+H6flFH33/9p/ZdKSxGG8K7IOhKRdmTqfrQ0riWrhn1+sApa
5l87n6LHyC0pScOLDOMqjmvjLlfZ/O7Cgmq3uXTi7Zyki6UZ2PIDTQeqw0BqnsRTvEAnL88Kp+kO
TrXCj8+/Xbn+KXEqWYNNU47x//V40yLoLv8pQHIdfy8/k//R7Pz7r/ypx7v035goIERItByvAZE/
9Xj3F8/yhWm6Ps5eW/t0f5PjzV9oYDaDgAATTl1fSyodi7/4v/8TOR5Lr0Wvs+0Hlmta/xqg5s8O
Xq1L+ZQ5e07AnwJ9SvydNjPELh2eRTqTIGmbp6KpvJcGs9aVT4SazvWgnV5h6r+HmdX+8Fu7fFND
R2huRFbYyk5VWDGqdus58GFbi87PsajBDvtJ/omKMHw7f33+1xhI/64Oc+v8SP1zW/kVhUX10P4d
KIlnWP+yX5/EQFIJTjKO/kgHYuj5qfr1SYSVpPvFA8d1pPhpGf/5KArnF6qhWCaRHSJbRrrs90dR
2L/47E4dfkfbcQObVc+/shk6a6B/hBSZrsN/BpITlD16zn398vzDy9FpurI2zIzGwpajciazu4Z+
eYL8YnMtiUREgeT0mPlpyfmQO2ugZ9NTQefDQ2klIM+D5spofPg9YTFdeLAQ7rtR3lklVp5sQeew
lEzwr1Tmzim6CLmpDSkc84urPjOOXauZwIM/XNDScW9AbeJ0njiBIQKtHIqH12LM4Yal+DlyJoCU
nOBMiroZ5M7wkmDZ1MRBcA5hfZpCGiUXNddXbSrhqpKyMddFXGliW5jukzrzDgZ9Zs6BmN/0gOMj
fknq+kdGisrb4FNrqD5M0reEZnHFMXJIpLxOKcWj+QeAqvIL+C227DalJBNH8mojBx1pRKpZdRz2
92mUN3SGQizH5rZShUXFUUJEmQsMJtsmIVAcJy9Qd7Dd9fh4ID2APe061eD6sckvtzp8H5ATxpK4
a0VhrTseEeCvfVHfmyr9VE4nmXnCcG3HM9l2y8S/6XfmW2GB316RVhnZZVURXSoyeqBIed3byngY
By+/G3PkL8QN1n+1DM07B3cJkd9Ixfma5A+lAVarf0+hMLhjzsEdn9HiXRKw6ee7EFfbrm9Y+dFY
0o6bwchdccgRmgyutHl+UU95n4L8FFmyxgzFlWpJw37cxb4RXIwVQdRegKU9djCe4j0rtvEEa6YB
mRIsDAMjrD+4VZ6Jgz/VUtVKFpIoemNPz2U5Iff5QccgK72GOsaxKEjUzsYc3PZelrmropFRu6Zf
lq0HUgWXER8Ly0vfue3V0veSVnfy3ska8Lm8iUHNW5ueIBignVxX1rZIo0E53jDFdNbdnPXskoK0
M0j3Sy/3aIm0QJ8GraXUfUqGMD7QVDQ0J54wel9zP4ooQvUacW2Amf+q6qS4QFWPIkzsdVvvR7ch
ZJVSonHqzzl/xVBN9lIFd90YHUHHMirRo7qi72Lbm32BpmXrtIUXbaV9zfn2knfe7ZSCe80TU1A7
0x7iHmO805pXRA+whtrV/WiP72EtH4bS3c6WnK+TwEZIzXQ1VHOZRuHGzqqjG1+5BXu10guyDf26
676lblIK5Wz6gkoxOoXt22S2jR88zhTt0pM8mrdULxqbcvLvTLOpdxW3U7j+5i4oRL3hR/2yl7ui
Bxvs82ssq34pDJHedaZ5rN042ai2JVMSe3KNFkflSWZ8yiTPHoKahiHX6MgezMS8ceM3qsVh69BT
zuU6X1Gd81jYY4zNGYqnomX30Giql+sWZBdmOiitourW87KY26yvjO9SaiXC208lTNnFhig61l50
KH0Tk5kuUpNpQ+llgP8uBGB+ZSap+xbM0YPI6VvF+TLsVZjXfGXSXSbpSrFsr18PQ+h9LHIhw2LN
W8ufukshUgj4hITZCoX0snsPvPquIibPld3M4pQl/q4vnO2MmArkSLh7whH7ovaHvXTNz1zjWyd3
/oF1/8ZmIQenQro72fmPxjJaPxRVUO94fr/+L1dh989Xj//D3pksR250WfpV2moPGeCYF7UJxEwG
GZyZuYExSSZmh8Mx4+n7i/y7u1IpldL+XtdCMpOlpIjA4O733nO+EzAD8yxkkljtsCRdIH1/Xu4l
Q2CDCjHcGwnJJ2mVixU6eVoJCWOIW5qjvCXG0rvUY+hTTmY9Za9QL2PGnQMjmFUFGJR1svN465hg
h+dcqD7cJFOhifzICGNaEfRXg0gZivm51tKij47IBknbOMaRr0pab2W1gOQB7EFffVJ6OBYWTNxd
mniGPmjLZbGQKr6iAT8MW3oCrCZwVFhZmh+rDNCg8mqqphS2Rjf7AuTKOFCDaYnax3SMbQDk/77L
DWycZWP6B92A4UCAnEA9wQQiumRLC6u/LuN2OxLRuO3JF1/h9bg2nXS8ckHtgZdKr4huzjcMyKeo
EGG6rsifiIQMyUft7XtGLpzVWM6uPRm7u6YREvExxbRVZ+26mmhPSikARJNeZOEiftJDUm+IHCl5
VtumQnFQWD1ztaEOe4gIGfCleOFt8cxc83Q7AauQg+epeMjm1hqv0HIjzc1HF6MDor8p9HRkNkbF
ACsBW9KEy9mLqfdbNFlZrfMrJP7OuYcITGEeJ/ILiwKyjMbHqFFT4fj1gl638pr8dlB98MHMvd9k
Mr/TjEWPnpnJNYk/uXUyHauAnJT5lzSFzswJZ6mWjOmOIM5+onklg8rY+UPqYAEfjJ2FJfQcGzg0
az9J3gGh87ZOWdN/nV1WL3xi4jZ2e2y8A1Oe2rK+OWVMXskEObXFNEX/q9LnMiXxOHPFrqxquIaN
dWS3gy/dG8NVkBDw7U262YwpSY6oUjJtBdDLZsb37muaLNOGK/eC2r8GcZ3F/BLCMoyAxFWhrEdC
E+qoALmunTpnn1P0Ze2PxLTGLcEw742NuQktirUjPOZIns86tfJrvDtXbRW/xIm9Dpr0UA/jN7Jp
IByGN7SSGJP2vbudlv4DB4x1UzT2Z+0k4anoFVMJ39TbgHnTvra6Nzdo22MaWCSAoCT5mMNwPA5e
0N5VQAwObUtLKFdZsKoqjAvD0L5fqglCLeyPwSlDxAHai5oiCdaVlWVXTm6QpFElu2o2LQKXwxOI
j5lmag97SBrz2vaBydudiqOmbyVzcA2DUvXMtCFehdzswhnzTReoNaeELRGC3WlRll7PBPztfEdB
WJoEnNh4Qm1noV2phLw2rJm49dbybqAEWXcFA9+zyygBEUd2MDpcv8mIWA7Nn58dvdAVI/LE0vls
4xLXfm+p7/hzSSyGlr91CG1ek1CJY78SF0+/m6wxmeW7Zpyg45KwPH+ZXB8kgDfN4sX/AQoYNMwA
IiE6kDcOeleZ5TmdkwtioCKmKcr7hExBV0yt2hka2NVluF9dxZc9Wl926+LHxq1+bOLejw3d9sFB
7YMfG/3wY9NffhwAVIIucDX9OBg4Pw4J3uW8kF5ODv9TbV1a2fPjrD7/8z/ePsD7YR/pdPbe/Vw2
oXOzKMX/eyney2fb/a/Vp0zeyr/57/5PrWX+YXoX+R1W3EupZf+/qj9w/wBLDX7WDdHb8XfKnP9b
a/l/CHrc5o+CXPjIuf+r1rIIxKUMDHwqdnpxzr8ViPurBs8LA/tiTKCaI37X+7E1/1Rp+Zcs2DLA
iKPTvtg2Zk46X8L4ws3g3XdyPvx0ef5G/WJd8LI/VXZoEFEdovVjkzfJK3V+IbLkgkzA0Ax9En1a
QD6iyD/B1DZ3gyVhuc7Eh+JPhBbb82/RZp0HemHkoPbPi45LpCnCfiqGOBjWv/lev6pyLt9LBLCs
TVeIEHXjn48gYdtmTj5XwQ4O29dO8j0s7LErf3H3At13CBOc4D1bb+OsnNbpfHI1wK9//hLc079c
G1RBtIGEh1LmUl//XPUWQePFE9PLncomct+KNj7Crqgf//lT/uaO090J3MC3GYNgc/rzp/hc5DyF
OEeAnbt3i/ElcLCcjUwcOOi2428u7N/8JtdGg8wdJ26ZB+nPn6aFtujXomgP0Rltp4AwIuw84jef
wkv565ULeSNCWhcXH7z45akSNKUaqkh/56YVP6OYR2Y4/f1QZe//9sWj/eHhpuf3BJ73ywe5xsIV
vTy+cYYdvDLy7xCtGubk8ozw5ub/48MgNNMRdNxLc+XP127qnRpfnePvapvQvxIjGnNyUayrBTkJ
Ffv+nz9OXO7FL+8mpAvajA4rAuvUL/cqI6Nmoe1MKhxY/pXmCHg9+rF5j+vIO9T4wdZKNt4WVif8
55optGVW8TfvAlMb5dTc53h5OF9WkDYK0MaQZBoV0bxENOMuy7kTqkKpj6+vOfT5D5tpFXQrrRYO
QPVl8qG6BVmti6pgZebena4qfffPv9H6m/c8dEMPRbTJWvyX53GUGUUlRe8ukak45K4RHObBNSN/
cJ+MWW5VjqNY6uS7b6dq44hCPI6JE/zmUv/d8xqyciPD8k3X/jWEHFecI90Y7FvJ3OswOdmNJGKA
YUXq/asfT/8y+azP/7p7PwO///pJ9HPZP8CfBy7X+pd7mqq0HckwCHY+gcARQjc82XX1tU1NsfnN
pfX+Iuj2aCALbDyAXxzb/9ef/7SZNJVlG4yK/J0TDmJTDEa216z4Z2F6071n8CAIPIJJMTEFp0gq
1qBcCGMlAhkfWA2CMqTLskMvikQKmJr3QHSR++Zi8duPXt6Vkd3080PYds51B2HlqkirbCc18Ygr
ZRH6si2x03CctKDcVD7jpnAO9iqlhmW4N++Mpm3WWjdIK10NmbLpzdICt86ocjd2oomSyopPfZq7
t9K1AFGjwvFI8ZwELtogu41pj79dCp6DM4SgSstw2ROwSgQsTqJD0XT+a2Yvzu2I4wVAOnWNEZtE
RqAEODIXiE+IzIi07uxNiezmAAGPKqHCzkg0unp0hFavopcKJq8JJihlarxK5yaOZD0C0ZXDfEkm
Lfe4PfIHw1TNbWBWWEEnxGrrQk+LXk2j3bxSTccnDan4mTYWs9SqwR86tghwY9P+Uhj5iywFKlr4
1R5wQH1rE0Z241dM5YnOsB2D4eRg2ViBh0TcW5SJhKOmXnBlcsi8XYbZBGDeeKS46mLHz1FRMOBa
jcsGLN6CjfM41NlkQnEs5+sQ6lO/Iiu96tc9eE8/6o0m25XNOHxyZOKajLYEPE/0dg3076bp4phL
Zov+AFKhfbFQ1T0zG8kbRvCKjlWszRB4HXhGmn5h9xSUlXPooVNFIwV1pOlrA8HxqovShkFtlgBn
jRqUipzqEQnRyiV3uV8XA7xekYR6KwPut8D1rFeD0bpvsVeM64R7yyI0WNnGUa77JVVivkLv5nyx
0wYscYAY4RalBtL2YCj4HITkbQCroWXKqp1Zwy9CXvM8tpjDnm27pMAxzfy9cS9oIz92eeLDIUco
TxlLYZ6OigwlHR8rKsfScvzvC7ignKYrA8O12VH07wKh0PNjK5uvRVE1xwVhTL3OsDTwCuHPTeOJ
oHHU9mLFelB982x3CCkEY/J5Hd0cdFj5KzspkOzE5nTyFgMlVk4xCBbQWCjbC6jfgYxvqEGTvWvX
A4BSafF901FDD0V4SvZ1JUCrrQwjW67FqDEBWc0xDV19laB+e4B5Bws5m7fAUNJHxp4TsSOqAy4w
ebDE6mQbNl24B1lTcX+nChT6xPNRLgVfFcgpVlqCpiHFAQS35+aztsCVZL3OOJ82zdcwppPEAdVu
DrDMYTIZuaANMiD+t5B+7gykBchZaQOhGilOkKBC8p/nlIYY+OYcutLKbrHXmDrJaaMDCQ1sHX8U
9oJaocjRoA65iaKPW/wQ+7a5x3JYbsaZZp+BUMrhKKrfB7fq7kTYzvtwNAhwaPtgA2rG2hIbZ6wA
R2zRyiHtRIV5RRwj2WA+EHPd5zDS1TEh9fWqrYOGGfwyMpRpkyCK8/gpmQfnqtEWyQfFLK4woob4
Uz37SSxutykToFsrmtW4q6SO98J0a8LKu2wzUWziIzQIlCxIZvMUh2OUZ+lVooAXBkB3gpr5Cbve
vBp70qV0vMgT/GRkNcpBoFEztF8lHipqcrLKC34f0sJUcfC23eWmtaH9wa9YHkTjtyeF/O7bRFjN
yqSbGrHNZ3SZiuncQlM55ALGvyK6ZdUDn37yGmdBfk9Iipz95ZSE+Wvvhd4OAOEUod6Bs0LWRFnd
m2ZRHirAYGiiLqBDpNXJMgy7sg8w6dje+ClHCe+3UAWk/aA3rFd8DvYJFPlpxKKyDhQV+TRiBhDO
bF2XHZKglYehcatLH/h1WY/b2oFQ3lrkj+cWrPxF6+E+bpXMttrxW/wui1jl0vg+oe6qRt995JC0
7HqSdVduzauMoB0ZieduRrSyJ0d2dyrT13Rl5pVvGSpCiQZ7LZZvVl3rKOWX27pgAYIh1Dh4AFsC
mgneIh6Grmxk96N904x9fI+gpNr4MSK0PHBOTo3oGfXlsppsb0Lj2Ddf4zAOIh+6WeTN9NPcJsCq
IWGPedPovUofVItVJjM2dILNo8BMYprnxJ1xrJqleuJchsJaZva+9GxsSNlYRhaLzQ3JCaAIGiN8
SPm9XzD0D3pdTKXmagBimFjOGzrKVtmTVI8MODYBlGrilryaK4JXa/HPJWmZJbvVol+GVLffBC02
M2qQv/UHkM5TQP447G402d8JPZNY8z2GR37/Vi1lfeB/h16b3vU2dzRJYC4afIQ396z9a8hFFsG9
ZrNb8jaOhB0WX+ggN0eRxDAh+oXMhXls1kWZpNssI+7W8gJe41FfabwBt37pPA8iw24cGk92OarI
ZpM/I1UPtu0S50VUINL28cOOPLmkoQB0cJoH+F4P6D+QEqvcgGi/mHsGJKTHz62zr5q+h3eSp6zy
DNp2nstDMTRC7Ih29nYsKQbpty1gQSXK67mrxLm/RMRKM5VE6TrtpnFctMMzwj/NajG1Yf2dDYmE
BgnBffHM4SlhCAyMnhnepy4XOH21yVwv14S4L0yRODO6xJMbQb0PsKcdxqz9TuZcfZwIzn6wrbDZ
giU5Z5qU0Xlx3agObTSQlmUMzzg5SaFbCpBB3JvbJpjNAw7TeMsMUt8vDOq3NBM/dNj0N0TgJdsy
C+UROWVG+mnewwWHJ3UJ2MZ0AxIQdat518CFiVo7FdsFq8Z2iV1apImTyGOOOycKJmFuLRv/wSTy
ZUvrvrgiX4FhZFcRMRPRv4I07cb1u8DKdBVLUUCKRe+6Cb283MUytA5OWsPuSb2rwulfZz3Vp6me
bjDKtB9upfrrRtkK9TChZdSGN71dt0Rdtu2b3eKfqMxmOIBz3hW18YzJryhWxPIlm0bG8ljHVb5J
FfElSe9BLW+n7ibEn7MzL43YSSVHOVf6yVFpsJJpgOoMENFHI8eFnZtDAfGvDKrQNI9rJVibC2YV
Nz7i5TtrkBDrTVS8QYUzZ2WbJfodFw33lOoXNTMWqA0id5glRxXg+zpl3V66S2wchgddT0G2GpDU
DWE3RCUyxHZR/klgV+Ezs+yOg72rcUjHNETji1rXhk1RTfK5zQ1yrH2Jbdd8l16270erO5T9TJs6
bcUeBkeyocvLLmxPzr7L3GVX0kjsQ39Lo9vfzt6MUlwpIziGNbh3QSDg3i4fh4m2foM7bn2Zy8kG
1DJHeWCdSYhWO83jXYqOHIwlOSi6ct874FevfgVuSJm8zWicN0u+7JkyP80dTPh2mMHF9M8BGBvy
tPC8DPpL2EFStlPjHRPis7CLk8y8h2Rgh8oq67acfIZTn5rYSKLLs36FH/2x8/CrkdZ1VK5/nbnW
yRALOnK/b0lNM641T9A1hs1iF4928F5PmP4TUUXsUpEM1IBgu6leFvuDbna5DUSDdGq8DDUajIS9
OxvcwDZ77BmgsIoxMVmCZ8YT/NW8oQ/+OtXudQq/xhFuRyve0VFfakKyq/QpFSGzzuoRJOsXKRoA
BDCSXRIfbLBwK1PAdvPUMG76YWaKkTMYFGj7145L/yJtxIGUvuZiJbrPeasOZZ5+o+1w8MZ5bQQo
aaHyrbpmGNZNnsZ7xmvDrQwT93ZWfvvZlWVI08w9FNATjlA1ve0Qj8TDjvG3wvYpzCn3H5meQ9yg
yOeVNVzvHcG72latE6GccPG2m+VxLkryPOIxvRylPHSf9uxHKbbKdTvJfB1YQE9CKU/C0VPUyomz
Cjg2GFKjg8WFEqFFjk5Vb3CG4QfnDLFYCsieQJUi10vN/aZurVej4T8EXnLr2GMWeUJ/HaBftB3n
fOlx+qwK0WP3Y82n7x01dnifLvbJzuOXbiZCwyMtQTLmiBKDESICQfI904WpsCOfzA5YoCbuQ0y5
wmOF4BOWDal19TffcF68Ek/MotmzZ9Vy03TxrITdn+dyqJ4nmqGkYCGK1WNi7Z1F1BsVA6lTTZu/
ZUPfYVMiJJpZQX70JebH2cdD2GA+XSe+/iqtfmC46vFLzXxc4aO9dS1S7NHV18yCy/67j0r6Frk5
pzvPLrezaQL5CMnlmQvzJKlZtjBXg+MoL4Jxr45coc+6o8BwVdC8Igh0dzKN+x0tloemT4g4VU2E
L+Em4Hh42zZGv5lYOwBJxN6pDplYomahbs4s3VwyVuRKg9zdmh7FcSD1CxOOZdMz69+KTJubJO7C
yB+96VEYktJFKs6SejS3MKvq94kfdfS1XzL44pYKq1d7kRr9jv3WvAEUfRGsFvKIM0fOS77xLsJt
c24INWr7/FQgUHpuobY+B6RkxWBS1oTBD7u0tM0XeLHdXpLO8qDUoL+B1krOqLu905zZKspt29gp
+HO7y9A1GiG/3bg9wzqHNs7aTxEMmw0Wywsind/YWq3/BFoO8W3S2VvTyngMW3p8UWm3lbmCSN4f
2grlBfryL3PDUTGh4/XOzEZussaaiZLhKNRRIu/CHK/LNMM6LnKz35MJ5a7R5HhHJi/zl34hBHfU
HvGfctyardUfYicHaZFfrIpVMp0zKLacFgt19P10WMsWdwmNKBQk3HFk/OFeDK61ZYhJOkA+9rta
tNnJmbQ+5Ga5kYAat4xXwQ83lb6q82zY5JnmXOna1Skcew64pCVgkLIgly1xelDLBfM6Me+vys69
4nPmTZ9h/VpcMeCwGYNjHBCR0fbEypLsM50pwB7GVtgEmeI3w5j+gStjfLWK5Kv0l/IElCx+KTEB
UI7r+xASRXoJS4VTaPTt1ir0cGWY7ZMQLix6rz1KUqoYbjubNuU43DrzHOmYlhtzMFhQZqNToPQG
vSGpW3tT9Sa9oMqw6DpmXpQEksenrhUpbXWcbCn6nJc+0daaR1C9DDnbdFzUuMckKuwmramt5tyT
d/Qq5JMyxhAteQpSt0jt+2zIUI40jb1JAR3PK2bc+swk/VtTEiFBPw65u4ETrXJUHcF0yRF3+6TQ
qt6/Llqpydxqio0XTsVhmCQt0Sb2No1R4+czSIdTLeIURpvZcU7B+yGGqX10PzVafLl8HVvM+smS
zK9prSfUY7mmw+F986eaca4bzpEDV3jTVra6LW0CS4phzq69gUoLKkN+4PG7I7RQIRKSSbOfEhsk
8SDzDf5+otiGAQiKUdBRvSqnnmg6p7eHuzk3nY8hBzd0NJZi3pEpCoHA9hb/1ZKTSfLG6E/uhmFk
9r3mIfOhsM+5uk4TBmgL4UR+VJo4VjeBMXXO2il0+Tp6jOUNzN447Lvl0RSJs1Mk3T7BTHXWTE0e
CJRgzQx18V7FTbrNA+uSXz8lG1PC1yxa5T7FhbwquuEmqCx9xDlAABpTbx5Dq1xAh1XhJsebya/w
ydOEB9ekYPvK+pkP0k8VHpDX4rJ2WgTtYcootnA2/WsiSCw4WWPKMhd08gIdtI8dKv0NU9N6Xjuk
fu4t2PZPYzMvD0U8NI9ZYTsnswpNQNyOuQLKNIP3zOmyt6UCBK3CSfPRWb9ulhhcHWFWrImVyf5r
1GUAOjYkgyfxR2OTYTtCJ5YSP152PckAPlE9BK8UMdQqNgOkAr2hVoivSlBOo3rzCDYmTHX0i0ef
9eemr4L+U0vXwBBFMbnrudTBNft3Wmwzoe9jt2X1Ku7BdJB3AfOcFGmaFyo0k9Po9mcnsdw1nRym
+ECgVstg3NBw9zFOjFE7XNLkmCNsDXfE+VqoBoVEslaYQqIe+0doGCTeTIUL/SzENOgmsOQBcT/7
xFXgTy9sgwJBeW8epdQ+HAIRgSjrcCl1hLUuXX9PSRnz/lf5rkoNiJqN4lt16es4s/sJtwekaRXm
jtbHx9IK3OfTsMD0G5/7Od03Yzfu6NSC/A5i89wKHBlook1U7Bd8e+Y7e9nJEspk0cCfyO69Tvab
ehiOsWNORsTTYmFPg0RPV6c/ka0svk01vLV1lVekjBFl4u/wwkPkjE2FJwGV2M5HslyzeJnBh5dj
BehnoV5of6g7iW/8PoFQ8hqEQY46pKUupnW3tQbt33KWQy7XJMG24u1bm4P47NJE78PFmm7dJYEG
hTU2BiyXccKnX66uJOTBeIUSEdnl0CKE2vaFNIrNmDQAxYo67LrvhWNa08a0wGasvZGYiR22X0Cp
ra3CJ/bSHqUNLkVyyOeeMriogW8eunBGQoT0gJEq8PvVUvtoWd0ifyq8ASdiGjTXYENHmPqXiQsY
za8z1ioScMjCuahR235s792RmPtKWeYtbRGf/3Ub0r5o6ei5vj/RROcsGyJ3gmR7qwqW6VQgH2Vm
GUkt14AphlsAsmtg/Tga7XxDBQT9lrC5ftFPspvCJzmNeBnaZM5h2Uv47r61vFZyellaAl6crhDb
dMjWRgvNNEDoG9Vzlh2Tmp4QA51DUmbGczsa2TrMLi7SoSkIzF4ybKxYX6vU2XY1VRcBQTlxmyHF
7OBgnmxTbR84wQ5yhePPW7Zmx664qtsAWgeqo1BGoP5wgLVjTxKEkfbLiqmKcVO39lxvTZQt0BL9
MH2wfdu94tBXH0TuEXeZperBG+YK/FfnWSCXKoQkEQ0PD9VvL7pzayPYYQGzvUcYZ81eFwlFpKZa
qdcQgvXRwMMJmN+8ZJYGKImahLamOfreK79r2XZzRQhUg3vj2V6Gzr5ULOU5NhNIndAm7Y9ZNBx6
DWVgZyU4WkR0FtUTcd4slsVwaSEXdmx/d7wCBcoYBLjNmSGwvdEveXGnwn/toO5dM5GqT2iJ/HsG
n/7BE7b9ZLpJotaeezHlJIYzQjYp2/DLMAc1Bxmjkth5lg45s2NmtNMgGXLKr3i3EI/JZm0gI/90
pGM/9bzCz2QpIa7xSYJfdWFb3QIrEYwYANcRUxg6xUdjuOYhnuZpbzIZecgqN04I3jJa9p3a+zr7
jn/rqrz8VvpLTMc0SW77qXZee8MeqI77pHrLyU85qsrhn+UY0oYoDQom4Kd6iEJVuw9h7QYqgulj
vbUqEftRdwPBDkRAnwszphsRNG1yNhaH3i54IIFw59lsw+57LUX9zBApfqmSqv5i8O5vjJYrn3M5
i4PHSXKP6Wt5iWfcWDKBckNmSNx9Edrw3ugCO19LohCjgcgVcv1wMDstR/jFJjZP8ogcFcFJbCl1
vqmQ8X4XSzBGBn2bSOLVQI8dONABGqxlhltB1pnA/6JdDL/klgCI65PuZs4BkibazCgBjU5tVa3j
t4UmCy9AXTZfyKmOjzj6oUJzE0gl5AAIKqFq020yuI9sXvJzkH199iR0FYYNhr1yXZ1sOOblJNIb
XzPaPUR2I6Ogd2PGYB6TckcYUX6DjgNfPMs+bPFaVWfGZR1VXkK/y81KDiVSVOphbkcdrsh9D7g4
Lk1IB+XtSXRjeXDGOThMGE2OmVOrj5xDWhMhSrPRxVogLFYCI8ljG44mxMOiqk8sGCjDHIhDZ6Fm
Xe8okydkfKKhiq4rN7/EI5UF52zPF+8AZMc7Gtbj2TTj5sEd/PrTbfryJE1ZHJc+JmTNcYNT3ClF
tp5vEB9nDfZ3t+/qz0IUI1mHeAm/SKQnr7nWBLGUto9cNEBAKKN5dBySZyU5vTyqYIUYkD62bmPl
AA2AYa8crNH3hu6c58Svqg+ZkL8U0hWVLSeSYVYLFrsyIUjMRuAKrGac36o2TCEG0TvtOU8h+Pdp
vS/7tqOt54ZDW20vvHZ6WWrggGF4ajGPeYoYnnBBJPgrQi+zm3nqXKCeTF1ZIxIZbG3iUGEas3+t
C/oV23FpeHQIcqpKsBBsNqItGEQruJinoXEIluKREDdQBmjY+YjuI9fzk7deKyIlE92+Otas8nXl
Iz0cKl3fp9yoYOsErfPUMiCcNya8hQ+ORs6wCpFcvueJHGmulMrH5eeThxcxMZ7nLU9z3u5irFAs
ELqdvAj1u/e1r0My2xVH/quEeNYnr7vsbKE37pLFoGtvSCs8Jv78DTX3smJyfFGB2zXvCWckfgHD
BEt4UX1xOtDHnpjj+F+Scik/dDLGtCzRxqbejFTEsq7djhYme4GjvZ2NJzRd+3SwBYJPTM8rmz94
tLphwBk4gzDfqARQ9qq3/LrbOGlG66wlFzJunfLgY3cUUZl0YLogAGabCjrmu579mV3Xsdj+Gd3M
V0VhlJE5dt4rfgO2jzyheKsAahV7XRb2R1525tWsHUmBu8zWboanuLOLwUNy281br2QIxCMpD2PS
MyjzGaadvZB2JjPInt2kjdv3JVeECSth6JfcJxx5JD5zVadEwA5WCMTKCY85aqvzuNiE2fCz2+Os
W32a5x6qRJNR48/FFn04fEOmfTtqm5rsGrtV35uASCeAFnl2xjV6WzL33YmkuXB4CIhFV29Me9Jd
02HL3D4l/8t5c2tzvje83HnHgd2tgKZdzxCcP3rXzp9sHx0yLOY6pPnrNK94rZF0JrV1U6rauE8M
8Tshxl8lL4AOUEGxcQsHO+ZFPvGTYoFMTR9cRxNcanqGp1TMZ9+r09uyUxn7NkfV28Ey8iektGyl
/yyYcP6qxOLDA48pqIC4YQW/6HsWYXhBFk7BbvZIFww9pfeDbpkimIzt7XEyyUBM2VprMx8+xoUt
RROrsFVDcfF4t++Fat0oCCqancrMiCViwCQnDzAGx3jmzcI6S0hltGUqD5sKO+qy155TH0cnX05d
mxHkDjcFdgM8AJRaZdSPxcK6wgmYvZ44GjK4xA7jsAFNxELcTJT0qtckv5qj+zj1FAfuOFtnoBLv
uaydyPCHbk8ONiKvWpKCTTGGVGpCf//Pl078VUYIOssEJGXbgu6g/4uIreJR4vI5nNbRUFI3mGcH
EGUd9fl8kBaSpXFGm2GHzN0tmFZwiPt5G0LoUDxMDQImUPJJ6GPFGmSw6itvg/1iOJh1CyB+Mq4m
kgU2QVlwALbzfI+/2f+NMOciJP1FbYWpk4GWE/B39DkX5dxPj17GXqKGUMN61YokKglOiKTfZUqv
FqO7t6YBAxKbM2HZ0KhgafWfTLx6kPMXtR4NN9eSAMraEVsR4O7fCJT+Ktu7OE6xl2IbBNDyq0gQ
MJlBEE0V7gqLRhWjyCS8NmOpf/Mx1gV29mfJGZo9B8UjrwBLOxbWP10EyHMG2QQq3DH+nMkCE76x
H0fdr6ep9L4JCnjWyEJF0sIiBsDdu884hE6gHBrcb50Ib8s5KJDN8LIoEDy3gIDNmUzYxdg4mfmo
uqJ9/udnz/r12rBemxa+RKSTOFdYOP78nWG3LDQkePYAT7IowLxwI9+kOUg0HxYmypDnsLitzaz+
Ui50z5j/mFE6lOlxJix8jZhh/nAJTrj+8b3+xxL7G5G2hXeIcEmTpf2/F2o/dQRaE7aETftnofZP
/+2/xNqB9YeJOBZloPBQd1ouDyQajO4//8P3/3B9KKWmZWHV/tmhbf3hcIYUCIgJrbg8E/8l1Q7+
4A8CtMWMqS9vk/vv2GI9/1fxomUjpQW9ano+Tx5S5T8/eWmMc4/AC4bNuVuVO7/0RrLs3drYEbPi
vgEVFHcWYK1VowoTjgTwG1Q9sye2WEQ57Ln+eB227MzFwAkxziGcpOqpXySei2GJfB/yROo1HF86
NXxLs747mHlmX6yhiUEk0SJtglcCl2hapNJFFPiZeR+XBCLIrlluhU09XaJ12Oey51t4gJhW9AFp
ZxQjNlelPxM9zBH2SGYFYZWFsLOs4Mbs+gwaqLA2sE2p/v2+2VYC7qHTVdmm7fKAcB86biEig4hD
tbEjyzT8yMmRq1YXR+3WamNnV8+9+eAvWXZbKI/GFkvburIpcWksjMuRmDaxNhF6b8XiSwFcAZT7
KhWE9wUWX3RMoL6gpyPOOhnmYoT3PpDn4vbB3VjmydqjZj8PgaO+mVXZ3DiFee0s3tcupGdfZ9TZ
DvP7ubweBsBp7nzHFASYhdOfYaqcII/o9eT4HRtttlu8RB8YCk5gCUHDYUoxKnVSwTSCkSO357Fz
OcohiEOotbac7E7U+ZUuJobgQeWsY+l2DZUFZNO0mkOYWCE9LZpkon4zbGMmZlTHXyHBEsqzBOq8
MIOoo8tx47HEanik2G/3k8cRf0rTEq1kZ5NoTcVGwFVoUc1Wk78fWnLlMO4PT4PtIrpS+ECr1bQM
iAEN6xpvgnGoBb6k1u7iqC9cEax40tpVL0f/ZcSJeyUFuqcqSW2KMK7IJnaq7CPzRr1B73OpsGto
5LWbyp1Zu/Lr4Arv1icDE9CV+b/ZO7PdxrU0S79KPkDzgOMmCTQKaImaLNmWZYenG8IxmPO8yU3y
6fujzsmqOFGZlZlAoVEXfXmGiFBY0ub+/7XWt9KvbV29SW9y3/Deuzu3KLNLkdnDuZtc8VzhYVnV
SayfyqRxT1SRREFjiBiAz3gKqzE6YVQot21jaXtfV2i/cIYesDchdI5JwfaEMqgEiYSecYPGMa+M
KegYbYJIeWaO8IYK4zQhCtKAY6TuswSkRcTVVySsmmR6HKmwOlBUY5xNpgp7Ezn18GE5FKCEGXtU
C6AvRbuzfFdFqE6YGLq97+rWE2Q7jdWWqtS9paXtey5CEt4obl2zRl93mjsfK9S4ClVBV5VtMOGQ
JdY2GTT+ZhMqr4aik407OqT5Y0pHqPMgRPFsV1pLl5XGW4EZy4039Py4KKKDBbsvKpq11cHGdVMz
3GiUAt9zXOAmzxIzuSNdQX8KbVRnJWd5GmAAnEdj8MaV6Tq4befKuLEz2S0Jd6P6xpM8utdZGoFg
MVJzO7RNB0PGRfm0DFc7gqWBrKIMPFL8oWV6b85WeRsurER4I/2GbtpyI3Mjhw1hj3vXXfCKciEt
egtz0SPZdYoXDuNQyxEtYKEzeldQo78wG800pEa7msTJiCE66le240J5LHV4j3GRF+9OnS8QyHBp
mjenL/UVEekstEijLcyvxkKQDFXjrymiaR8d0qdBspAmk4U56SYG361pIVHSwaAeaCQbH9B/afPw
KpiVNXJIwJG6MVy51xq93bv4JE8ZVpc9MfvhRrpaczaEX5wZCJ3nRhPqWV84mYoSBBw8Y2Xuw4Wj
SV7MvOcK4TwbIbuvtVGr9AhJCs+qdKELLzxOFj7WZ0mRFoFEVT8zPBmBVo/tc7KwPLMr1jNfCJ8W
uTcsVD64r4X/qS8k0GFhgjZ2Cx5U6yCFApgMt/EVH0qp5XRAl7VOUZGAbVo4o95CHGVRMuOkSY1D
2vb+a7mQSZvO7C8EhWkuX7il9UIwTRaWabFQTaUJbwCJr78jN1l+nVzy9fAjinezT/x33wPL0y+U
VLL6lCIs5NQsFXJTXHGqHhLnAUNZszGuuFUnz+IbFkT9DVsN2MsLlxWaZXGuF1ZrCrTVbEePBWt3
U8fwXF2eakVYvddX1OvUu5eoIVC/UGC92I2emoUMW3bwfkULiky2dBOgwODx2OCkww5LNQJw2dZW
aqtNlojWsrXqU+1qOAIWIm3bAy6gmYhvpG6Weydd8o+Js7Kt15YyeKdPtFujGvYFGuXKTaLbUWtb
trwY8ib2O8gOUKXrot3I1oAFMAK8Ah7K6I/X37Hym8ySmMV4T6hnS/uSxvsYGlYm0/wQM14tcIAI
3OhInVjctu9wYjiZceM1a09ZI1tX3VGPbYfk3NvwPc1GOZjEi+FCh6BTbLAD+PvRqKdN4eGtWE2j
v1LpxWXCIO/cd2cQYvXXGs8l7UVm/RVDWHEz1vx4Sj7zT4VeWHxia/s27uqlOzCsAwzZ09FQ5k5a
lHSIYZx3JZmpV2PER8tDKy/Cj3h0u70qFq2ppAOkYnNsR+vGqcID6ZqKDYhmXToAnjd2WumPNMZj
B2o1muVjt2QrQHqpZ/kYYxsS5WhsMYpBMEUg/hxDvPSGWbXPfD/ABHt1v7dwTfGY6avvhSyGPZtL
kAZmPX+0sZOtMN6dF2bNKs+nGTN/ET7yBhT8TOF9EBVqvQ/PnFjgdE18Z0T4nfgfrSDqRoK2+lyd
ibfoJ0Lkxasa9GEzUDGvr3VtGOqtMsEc0qc26nQW6v5noVnWOtQ0f6uoqGmAnLHjxYGuko3hlcLe
iTKJDyXWzAvAgCjZxKM97Mtx7HVYx/god5pfVhfuF0l5m0cIyoFW5NSzcwys4wNegtkL0K5TdU/v
Wnuj/DZ/CKWV/Cg4cTCV2ELBrAMa3lki+WIVmNtSrrtrLzOMp84d8u1olmC2vcy19kUYJ1srNcEq
V4mO0MYOofHMZE8/h7kBaFxfOqXukbZXZQ2ycGy7A760KujHIcMBj9NdcrVYd4R+122nxu8qGcdP
VZvfOzZm724+fIh6APnm2FF1T3mG2PdzL/ezmySEGix1cq2FFlbrw3ExzwZViLXI7eICOwePp07v
6elqvCdzVsWxM1W2MXvNC0JIbeB2XWOV13SfOVhQt3HXJ0dae9S9NEJtF1YgRlgUy51yDMGiuRS3
AsTvd89qrC3f0QjTzGzxNvTFEzQscZtYXnTWCUnvOoQWPAaQTkScYz5zI1y+JY/OdWrOaeDYkqic
SUHhzcS+Y9u5Mjq0o9t8NdJhRKyow3ORtP2G+j8WuBxRKE2pc4eBDPdJHlqbqNEiOj6sPlkrr8T3
TtDf2cy5BdKT0EwFjE25mzjUkc0lxmBuV0o7FH5lH12vHTZGi2+vGIXxiDcn3rS17tz22G73Dizb
HeE341m22Cxqs7P2CIDqkORhdXbp82NxRAkevkFdS17Jn7CtURkcF8uSwWgmuK8SHLGUUDPDuhho
OTc9poNEmLgEvOwmMQpv74ay52ipy0+vzLxb0Tn5lyErix1yrL6BbUA8LKMm2m8me+umoX4oh9rA
OBD6PGomcK/cBpbWknI8dbp8cPSORWytnzIXi5CXty9aWAWNsuO7YdJYuquY3ELlfLFKaqeFR79a
UjG01MLt1rWpjzj/Yrlpw7IgAmNT3tB3lQTPVyDs8sHAn1zIXF0gJyLD2TN4PXRY/gajixZKyvKn
yfJvRK7Ma+ntz1uNX+e0X7YamufNKa138X5UPYYMy8kCYHjuDSzcZEtfa4VdSGlfGt8cnzzD8F8p
PajvzXiOjh6C3htKVAoIlAv+SnPMaBf3U/00WgDvdEfD8OxmSVC0vnYGSk6jYUMNLFxF3gF97dsL
NzI0k1eiuJrGpaYc1qEpS+wZrr2xy+zoeYn2LRJVRMXhWN1rAED3ZPef+6YzyMjX+JMb32Cn0rtH
aUBapmwdMAOvfQ0d0rmzARhvKV5snYBo0XxoY9d956Ye7XATAT9J1Uc1OOde9o82N5QV7dwZOAiT
ep05nh6GvjzRej2fgHG43MBpRl+BGaJ6N4MlJrb52M4c21HrfDdlg1Km2ZB511PBpXBDSV71MptF
bmJa8DKO2FgMp9B1pwN5KSx+wKHEQ1V1wz3Fgqm2HTkObvELmD+cXk++Q1IdQA1p4HNkbF4q/DCE
WXD4zyGNzptqGsTRlr22d0wcG106Vw26SJ/McPP08cfQja9dPDfbsneSrd0W+dYZaeFBBANEXDvw
UKmVvA2Vg5kXc5YEuokvb9VXA01Oxpzcz1nJEzqGwREyv2IFa4H4WJTWX/ii+6BdR3Uw6VQ8zDo3
bAPIxie4B66ChVIje3UFsa/nvrBIlQCq1zQIVifojOAyrlfu/Hr9RsjVoGAsl/K0JjzGD9KkKihl
MaurOL63lps8fbmcTYg+xo1xvekT/qa4d7n/E32WJ3+ZCbJlOoAdntz1+WDC7Yw0775LlYG+6HdP
xTJg0GPArCG4mXEYLSOIdZ1G+mUwKZYRBXw500q4DC6qxToPr8UEVTr5yIV9o23gV3cr/zryEKxi
/DFoUKv3snHHtdcK42ZsHdBKds3Cuc344PoZfonIMdyPmpJO3CIAP/ENyjMmuXQ3eRNeeW+Zt+Zm
fqxbm3Iyrb5oGKf3tcYPzNLq6lL0hr2uYJSutQnoOqphMt+4Y9kch5ghzcbYIlZ92tOf5HENW3m8
D+sYHseL2WCrxyJpnX1Puc8N78G00peRMVuGx+w6R2Zpm8HalGwKGDJtSqbW6jp5iusU6i8DaW1Y
2a5ZhtR+GVepMotODRNsvYyyyTLUFst4y4tcBl1GXhQk8Uxr23AWy0DsLaOxo0XeG82Pb2OXZl/F
MkD3yyg9L0N1uYzX3nXSnpehO17Gb38ZxKfrTE52wiLTxaAOZcM8ymV4H5cxXl4n+nYZ7rEua98o
u9QOKYd0EUr+Kz1nmF6vm4FsWRL0y7rAWRYHpuz94L8+Uf8TNeD3A5W74SKUYMhZVrI/7cr9FssI
+31vR2PE4/xqvTYf2mtzUXfdQ7Lqynst/wfRa/vXxTR/oqHbAHxt2+eb7/7yJyr2BTjXkxBOlhd+
JWmQyDVd4dNdNiazueZiWB/bqQFNbURZ/NVwZrkBYZZ9zoYzWisc9OG2THE9MUVzQdzMocUjyaxq
V8d1GWovnazFEyA+Tm5MscDYMps+u43MpnY/NlVzsnCd3Ag4OQcezHzd2A6shOtd6GoFv8Jtitm5
oMfGpr4YZb05LlLzO+D68NCBizoMDa1JknqIL0Wi2lMvy+whLoboaJKznI8D97vH2Bfzh01ZaRbk
alQBeO/22Y6s5etYmPnv0Ma/m0WGTPHnbT/vH5qNIZC8Ft7TFfv309vY+T7aJSnN3SQ9m+6g5CDN
0Nvgsfc3psm4BS3DOes2JbIrw0/MtZP0eOOQDt7waOCuxEwZfZ+GXt0UuT0dNc/ozh5L2Vfudzhk
vPpEXrLb9Lo/E/Wy1AVIOymBQqszvpqpNaxQYLO9LtkdrEKJtSAQkebedF5UYueZeFXQMgYuyGTk
PqjkoLKvkAJ4+7w8j7Lroym9Pqbm6yPLvj6+4uVJ5i/PtP+3K/1FO/hWYX9IkPW7f/vff2gJwYf8
+NM/bK4wlAd8hdPlR9fn8q/wxuX//Gf/419+/DNIFVycPpRTw6TuyzEtxzBZcv/9vX3w8b39+Atb
+7/cfYBX/cv+Y/iRJ3/5P/yL4KP4KK//ic68n5f6f/OP+H2971q/cX4ssXsbAcflZfz7el//DZaq
o7Pj/31Xzxb/rywWEKys9k2kHp2XzSD3Hwt+2C42RgDgE/b1t/T+lQW/Yf2qCTqeZ/EdMSxDEBfh
SvXnc44yaJVGgohgqL70OLL8J2MbbTmhYWIl4dpL14nDcudi4aRbAeia0y9dk2yT4iUkMJAsAPDB
XoK8JGUHzFMkRFnIalvGht1QU3XYETv3gP7TTV9H6apPXnr1TtErXl5GVX1+tGrKZcwJ/Fu7tbSb
2vsk1ZHv2UkP5l30HbDcqnQItmU4rG6rtid6/EnFwTprCasjExvi4KRsM3ygT5gVgklp6zyedsVS
dEtGgNk/3VLerIu03abGYvHr87sxpilg5iBUX3W//NJJ/aFoZh6BkYvR0ZrqTecSTC2/yfxeeANE
tQFyu8GuzAJon3N/A06mXPNspOkj7o6DBalFn8y9Zhc3mY6RVxQnazSI9Nf1fdcvfr6oDXpN24hU
P7ONBPmWUvlp4QvqbYw5jf2mIzTwNm2GCkgTefk0VLDwsi0q3rqVlNKINoAQemsl8iyFdUf1+7fM
Feex4rWqaXJWtWE+k5X9sqDITezMkW2nuJJxBC6w3ZVghiQ5mZwjQmyY4LCX2l5y1yzg9vH2p6/N
3xhKjP/0DF2+dzrapYuAZbucvn/+bCH5dGNScdKOc/GllYyZtt2dx8HZx4peSVOn/cgVNzIrd3l9
z6N85xBgBizeB8CogOx1+CfD0D+IJN9nGmV3vdq2aRbiRbDO1lBtx9F5hGTCnTPtgsZKjk151Ht7
R3XT0Zi2Br021HKytp8fnDzee64CXejfSd7Ceko+7da5ONkbruhtSEclVs1tlGZb+m8wGUvmQSuo
0u6EJBuAbsV9pO0xPZ1bp93SWHWedP8kbDZwU7+i0AL/sXxKyf7zkdzNsGONdwGIM537m0bMd3ql
SvYesF+xtuJh4VOZLfiPITl55a3bsIqBOOoU3tdCTvscW0qkOsw+Wqevs34+zeScPC/8mGpnW5U8
YvgNV0wYOJKMiQ0VDc1mRMT8yWzb2za0952hnsrxfU6d8VibWBXIirpvTWgx48X5q0ZCJK6NHc4Y
mJLC3rLQ2TdW+10feY1DMd1H+H1B5lXUTEirPzaqWdVi/gcVXeZyr/l5dF0+JRaGGN2DosPDGmTw
zzetuSI3z5Y03Igq+xFp/UvIjy9sjXciGmtiJIwK7YWY8R1c+PuoI5GixruEeB4Yg2bLjZ1VuJ8G
4FJBsPr3MUG7NpGXzvMB0svsnMbDJ0L9P/h04/v45XULTm4+3xzgPGAMFup/ft1d3eT1YKThpiGN
RMjMQojhBVPmQ/fHUgiI5TuPuRBxLtYsojR2havG6D9MF1ZBuWvinBi3NpPCahBVa9flMxuZG1qw
924PkNIU+R2A2EcOVsJNhHjS/rGmR3pGOyta83vkjI+FTc2v5cmAsjHavxP4oq2Q1WbEdwt70vzU
KW8HniE1bncoCulcs4et1SUehrPy+mMtMPkkoryNh5BuVuG/A0bEt54NT8LI74fcZpZ06s8S0P3G
seonJbVPHz/42kvEJ4PFYyfSVziIu3YgYOAYn4SPd/FIuV3JK4iAQHT2avb8tYydZ1UYO5QAf+WS
roJbScUkQ5DadAtNXq31IV4nlE2UxFwVyww7HCkplLesjs4d9b+rWjcD0E57DSfKKu77l7SVX7D1
Lj30r3PWfImS8b5n4RgQk6MqQu6ttMGdre+dpnx0YrXXUUTgDX/Djf+YY/7sTSughnndpk4gUu8c
lfqhqtVZ2ew9c++xIOO4uHUCbngbH0k4IQUVxfqWt/6kG6AahiUUn7ywBN0PNOFIgo7OdKtXJxnO
m25yttLPyYbCi+he0/mRqR9chRfE/dGvswO1By84sBghqXCG5mFsqRTfedm8iZfGcqahzyymIlmK
c89yumnTt6Yg5eN3abk3TYKSMzAzNG9XvqSF+0AdX0unbhOU2BtXfj0gCgEByTFDauZn4hWHUPNf
bJpcQq367kXatkaNX1VVeCr5GoIIqc6yyfYgILYURDwWSlyyKD3a5qQCVhb02zj0SUCxCTUZ+FW/
ZTQPwoiWzDx7TU21t8ZxX/QQOzKqMbjyFl+suHyNOuc0ttZzDlSYOoZXZ26exqKXGz7VhyaEPmJa
R8xnYqNYn6HHRseJVrNVL6cpaCMvp7BgPjH4rRpR3bMFanduq3/YQFA3UEEulTV9ZE1crrJevupU
GGL0I7qY+NO5tSV1pN7N4CK8WDgjteyAFfUZNwSUAIMmijh9IhP12pv9UR/Hr8U4s6Ip0Qtp/9HU
GIy6fi4E3nAnfC6kWnktTGvbv4heu42yN0b+FZuztR/Gd92QPFjUhEx82m3853Ni4jye1uPoP46T
xSCf0MjHCstoLqH2dci8T3/W38doXEXmuDV6/xv78yApXOI9jnMJ/R9YXVeuT8rwrvXuauPOse7L
/oJh+YwlPujB5gjrMkwmeV7vSzESdeLWsVRbkmKF/zEGZvoDQAqiCe3O3avrPyknXiWjTdHnp5/E
gWG+9dGjG7FO9VpCsg/ED1akMC5Vb/Jx0W5T/cJEWK/iGUsWctZkrzDm7hNhH1DrHPoesXavfHzg
tbg31DffqdeFa73K3luJie91ZhJoORcjHUn5gx4BT+GsfGlCnOR94gRR8lXhkij6zzGt1kXtfx0B
2GzxHH/VarEnU7nPEuP7oFIgxD7ZV4IrAQkn2sx9FZiU+Eq/8g4wElAWBh84R1Q8J5MWbUZzsr9T
HWcQskDSBAa8pfXz6LTlUxw1boBb6snPtLdqml6qbH6ax/Q8h9JFC26TtVXSVhnJjARk7pUbV+CM
pi3wW9XPO29295KpVbB5X+uoQtyrxkfNBtva6vVG6TbRW/UhMdn2RnsQoBLWTMSkFtyvxTDcIOz/
8Kb+yS+JxTSpuU/TKQqqjquJjxt3E2LwIpwdBukgn3KLchyj2HBRP5Eu+8x0Ot+NXSTFjW2TLa7a
20wRVjTQzRrnbprkDtnBDOzQAqFuT+yWWOMFSNBJIB1qWDGTkZrOSJ39r3imxxucrL+pHZ9cIs5A
bmBPiV68tnNUroqK/VnUhRcrNm742SSb0J8Wfmw4rSoXLLRb9kTLgcquWGA8/nfNo/8DJ82/eruY
1v7+fHkTf1Dz83dcYfzKP1xh7m8+JQSg2n8t7vCs3/Bk2eDOFkrfT64wyhIgdHr8AkB6XLcXI1n3
e2+Hafzms8bCYOk6nu4IYf8rQ6N79Uj+fGUD3unhH/V0fjsbxtsvaoNe6GDUtYlov2FjkMqxXuF6
BTmKC6R3ejoznVC8sEHT84DQCcNe3WX43KOpjYygI4XHvb5uhkelK99auY7kKZlrxa039nJLklJe
KjXRQnRNsToFx3E95ck+7qvyyAsqgsKu1F75vVC3Ex6Y8SQo+DvWEWShe6fvI+psKKJNUFZxoB9b
1+3MTUqH6wWIjjOt5mIiD+y4tHUSGNRLgFQu4hwNdgmX9D5CZV95aertmQ2dYQ//M70M+N33DQJc
Fhhj+eqU1ejDJDH67/zlWKZRpJyvRGT1pCoFXHu+u3m44sYD6s0he7DWlFBAB8rC4sgUA19Mq3Gr
bTIrvsLdEp5IrjmK7JqpiEhf6DdoAgud6Jq7SKkSdvepC9kVKgDKI9wXO2ENJJSgPi4utfeqD30f
FxcR3iqs0o8GHfvUASbUYfARSzyOpqvPgZdPEqvANU+SXbMl1RIziRSBk/yaPRFLDMWcNeszvmZT
EGnqE17s6XZUA1OJdPwFmdpROQEVYMz2xhJ10WZteEittvhmkcUkX5jGUb6ZGqW9do0NlCkkc1Dt
7KYTZ8100PZNO8IwPcNCi9bYZ/KnysoHNttSl+0asxuJ6A6z3KeoSWlgWoN6Mbuwyba91vhcsJHv
dknSJojVNRY0MAwZFLWeO87RSGjzNOpyCMy2a871pNUwP/BKUILZXOLU0++aMYGll85poYLccXg8
Anf50Ds5QrJOrZ7800S+rXazG6I05kbYGIP9saZVK0E/AxYL40/aTbWtHMbNGDjJizuF3P6i0t9j
N+iex7pKXmw/xadozSSsoMJ59OfJ+dGoxhG3PM8HW44DD22flkKDhWyeOcCUasKwvQHluuf3wnhJ
9WZoKGjpnfQCFgZAhjpekppbkwqIZL4FM0DKIoToZhiy2ptF7G/JB5U7R4+L59awiaF51hdhYTfU
hUlGywdcOhxZdvLJxxs5rbgyZhd/oIUjifmbql73gsRLumND6D7g6MfbFJWAPPp+vLFkScu8Ow/r
BpIDsfaJjlijsPn5U8YVnQ3HmB8sc/CCqcRnwWfd2tVm6tZBjEzw6SlbPlDjxoW+d4zHOVLzM/cO
sc9dymK3Km2oB8NwUj5TUme+ACivn0nc9589WIRnFms8Ur1+b2f83uk1SddlXJIns2jeGrPoHsol
c6f8kIGswXL+aCZ4HsqY5oh1WiCmcTmecozmFBJvlDVhQsLn+qFmYi6kf0gTmWaDOj3kWdCqofg6
Rql777WWeE+XiGB8TQsOohsupAXC/UR844Dakn93Ox6Qq4qxhEyD5kz36TWD6C9xRPrdDXKVnnqy
sHR/xq5SAEqVnn+ZUbEfpmI8u1WiDasxlkW7dh1D8ffUmiHITc94s0hTabuelBQzeZ6Hd8RM+puJ
M+ISYhD8AT9ixAU7jNNLdg1ddhzNe9gvRDHTJZWZtRXJr84HsbbqMlM89dcIZ4/euJ5zJ2J9HZUf
Ah78Dxh3CyJxSX/qCUAAjGhUx7WGN55QiKWxjpa46FhLP7B1CFt2wrRGUo+qW8FnoEWr2KI4kTW1
l9gpvqGmDtoccS0glT7vsdETICqnuF8W6jkZOtIlXCCBOa09aXaXyMybHZgSwkND0nePKe6kjRCQ
+JANxZGSz/AS5bb9hjsjuyn1OXzXVPeo18VIzUevKO7Rp/TBb0VW7CsFhWToEHKZl6P+wGLdxBKl
TebBMCbrJDJP3uYN1TQwvfz4PnNG/46cPLNlOmv9woq05wcluJ/t2V7ShqsTD4yHyHk3U01thiFy
j5h69QeMG4pMoS8g5eOAXECU9IpD+9hk2ejfF+U07QfgKzfIdVrLl2xgzst1lWgb1FFBbUPSJM5a
CSqF+CqYXwQlpQ9Rk6KjyEHcTFwPP8au8T80DB30aei8ZsX68bshJauFKjGfoEjS5W2X7gZCv3eK
2rb+FoWR+vABOnKbsxxJI7mGb5K4vmr3gkY3pnW5tFIY5WfYVewrl9vGvtdglwzohVNgOp1zwExZ
nVJFoTVQCn6ik0WM2lVOtZVQ8iHgDNmDBuNbrIm3F/UW0AvPW6/28ZnGHC9sQBxy8TFjM87hHCk6
Lqjui+VEewqcw/7eyHounJDLMkpsChcnJ5xs5O9kAs87pTzZyYo9lOTN/XWHIkz3SUqlSoYd51QO
fYMuPIjsruvGaEv6rLqJ6S3N8c+l5ncXFhH7MsRHkk4W+0If8JG/NQklfRFunjzzzKZfo01qIu2u
Xw2omZpzzHOPagTh+F/8mMoBFlJEMD2qdEpQkL12zBOy84dk6Monq2ws+ltklx7nRtPtY1wy9VU1
PNpgdNpD0glIgBCZqCtbJDRZueZl1D3zxvbhLZDa1NaGFy2B+lmd57LjB+Jz6K7o8pUvwOqqT7Bd
84uuSAzmsikP3QzlFtd1efHDxj65rYXAN4lOvEgTxPpKKqI0MGdtJ8RiWeM7iuPkjnBg9lIRj7nl
wtbYuxBtv1k1nZ+f/Kn33mAIjPiWxatuUwsxiYwxclltJ5ENNqut7Sf2hxmElQLx3MeGj/XX7dwv
OC17coo5WC68cPlbyV7n2eTorFmRtfXRjw1/E4O4I8c/m+PeHEmpiKTqD9PEthbbAMu/UGPVC/Z0
paUprLNEDe8TU14K1dUmiGi52Zs3LTUncW950CV1786a+hhWmqEPP6Am+JsemG7LxWij10sRtNUt
FWZAfRUf/x6l+WhI78mewnan/OHRcIf6pbXJKA92K6OVO1AHPqeDo+9GrVvyvXmUPyZ8TF6aUR9R
RoZ5nyhtKDYoK8nFnP1hvOk1FpGoC2AENiXpv1e4wdPX2vVMgE6c6hIykM+pnhZh14PrhepEjxgX
HT3K8RXxNoNgZBHdrToQfm9JIxQ/RJ9s+WTy+NyFqWmsZ6j553Qq+ab61USjx6RpZ1ElT7keueco
sUNGt9QlSUcm9dDbqg+MtMLXXOuV9qN2Cv1Jokvu03zi0VtF7TbSYxvUxWA9KZtxP023lLOuAAs4
t12hI7/ryt6oosWQ5+vI4WVcHAqDhnVi49G582QdEN0C55sYd4Kr8qppdfUQNlVyyubc2GJ712IW
LTxjVyo0Y7JLjXKDIazMbV/46Z2B0e8UAbDKSLjHTrEvskjetteAass48+wMTm6Cfalii2m/1MSx
4YL4DJBHeIE12tFzw1nHE2xyLrWLRzJY6masrdGU+cCiyvM1CjB8Pp1siO8QSuJz5EoNoBUZMHYk
0zjfYHNrXjsiaPB9xUS3rRti2S8H8dyJynngsMMfWDR6/MYXWN9ak4L7gP2SMD+ZP1IgY3RbZw5E
Pl6nGSAHe7Qva/GnLwYq02IVufiouG8eSCODkshnLPpr8hmdvq8LSWCms7p4X+S1VXJqToYW9B0e
71WU479czxgFbdpLI2tt952bbHCpk/elR1f70Ei0PZZROFtryZ09qAtiabOb92+VK6Y6aIAS3fae
izXbE3LdpRpXnMke9HuvE/lbh8FAbmI7TYv7rox1a9U3Te4ETmyzxPApWhtpk4f1uNbLGH/fWOOo
5RvhF/twMP2X0O0ZdAY3JBeSuXxU1wXGruqGlhNtAbhPID/FbLx0Hb6qnRS6d/QnvEWYG6MEpcor
Jgpf2omW3bSyP7sW7+auxss0bUNd0raDrBrJAHdqF9+DWWXkyPMK0cKLjZmHXu7DefGmC98ZhXRX
0KUtAbEFLaf/EVzXvu2L8kgk1H7hWHIuouJxkKShfwRwLdnKZR1usXx+UXPkwt+Mk5EeiIpdUxvr
gAA4kiDw/HftNX4W0P/tNvnWVl31Ka9C+r8L61ex/D/+afejuvsofnS//k//E1ckOjo8zZ//1YYk
+JHHyc/y+u8VlMsv+kNTd1mBLElW4QkdQf+nyBx9p4Zt4Uk3fBP8pIfU/1dN3aMK1WVnIlhEcCE1
UcL/uh7xfrN1YK4+QpRh8Dv+S/0m/q+SOg9r1/RtXCdIjzakkT8LQ0np1AUvj7trG8/TCtlMPvVD
pF7jQQ731qieeq3VLiVGfEQM4gDHyUaWdQjNww1Waf5WZO3w0XKAHsLM71k+CmcNiBWkqi3lFryF
8zAKfYRHyGaP/XvNuV/kP1Ihvqq+E4GafW3TpDILRGVX59pX4RO86Cri9tW9WJVdfFCJjUXUZJHX
hVl2nirnkpH+OhKtSxcOsHq2UqFvdDiQLDb9fqHIV49V5b+OWgo2VzFsllkzbgRlfzt8tfhgTRMc
e1e3q35qHjHyxxtML9XKYkS4YCYCydjL5pFGQ42wELgM9E2TXbp09gkewp3UffViTqOz78yQzXRY
l6eBgeerJ2jRxGEnv5JX6J7S3ix2aRiKYWULi+ljsNwkSIsRDw99JsY7awdqYm14YXrj0ShhjADL
IXRWBc5xOb5bRcoyO/cXbGzDMfhWGa6/0kPiMCt8dy1co8G5deSQOrh3Mu/Z0/LuGDcG+QrLm+sB
+laFf+3/Hwn/jD8H4ddB8/37G9PHJMuS4ucD4Y9f8seq1PvNp4gFmAJi7O+R1z8CtJ73G9UQi/Xr
lwCt6f0GM8Zlf8qK1XHoqf2/7J3ZctzG1qVfpV8AJzAmgJu+qHlgcShSJKUbBCVKmMdEAgk8fX+w
3b9lHh85zm1HOxwKyzZVVSggc+fea33rz7XA/5eJBM6E8rasCbRS/5tW6Qe3OXFersO7spfIZNek
V7r4a3/Sn0UO0aEjwesHF4Xnae5GYmVryIqRDYpRjz7QVXYqlxPedmxi/SkdcwDAFhL9FsnYxsI7
uyIKLPiWJdKiA9P41wq+zrE2mv5SLjqCn67s34g2FknGn53df3+/y9D7p/frGRMSxGCyDiGU/8Pk
YndF7u4wX402ZsNGbnPevISwePa/fmHng/7x31/6g/6xEW7ZdI3DWCmWKR6gPrvNc7jjM0YswjuM
ejOHhbEMUygzbO9OD3ikRBsS/Ocj5c4arztMcwXSzxjLVR1CoPO75I5cFnW0G66ecPSCOIxh7qhp
DTaPSNuuMg9yTq/NkG27Iv0EXtPD3doarGJNEQyveUqfm1nT2N7XHCb3tGXU4+CYMWhGlEJIh1Po
s3Z5guVXX+h9p5eumsfPicJZC6O9vkmtgg5diYS7a3pYhN9g+5vHoor3Rs+huwoBcsajZX5yx1of
/aEa94VToJzScbrLfPUt6zhHUOzb6rVJOZHQ6KVEh3axyvCebfEcERRlZ588Ed2paXxos4aA2XEz
FsYr9tLw3JMZfOLk/EL7w9h74aIjdc3NlAj7JpvjS1mWKW5bnzw/EKMrmt+wQEARD4H/hr+JYfro
oXYOs5MzRAZGlOlOQ8zaYcPpt8qMnLWROD0GOq3R0USQLor0tqYc3enOPOALwQSsT9HMaSXuCNdr
cP0ayLAwBgsr8mhHmO0uy12NTqKUNMTtYV8jWmKw27QwdoltIdKP0MiMAa7kbH70OmF+GWNQUSJG
Vo9jlnEk0SwPoEidE0/NCiroOULujb7JHoi51E96oDmtS1RrGn4YjSZFe2psYH8ZT1Apxy1jxnDV
hXwn8OmSu1DFznZgDnkTJi42mczaykBER2xV5h4OW3R03Qajk03EalsL+LAp23SomnQzaGd+MjTJ
uHm8NaAFrgfOTLPTORtKn2KbooWiGwDacGwwjKiAChbfwnQeURaQvtyne5OOo+tXnNUoQxdeY4vH
KkyCJyQ0GymgxtkF19IbYVhy6DoIB4E+WYv+uvKpwOkWLvChZkMDFOla6B08vk0Qo9FeeEQJSwbY
zhSsEq8pNjCBM/KU4cFGRbZBjg4Uzg9IHcTBAi7HPBuxy6O2yHV1MapV3fT+eaqb/BGTvLGZfIJm
R/cxrz29AfxvQBdPON6r7FbAYl9NiW9veiZV6z4z9WYy7L0xdlg30MK5Ir4qG5u5V4Zn/N7Htgyu
KfaHVTvpp16nZ69J132PL6e1mgN6483oD+CFn+eivfMpZwBhqGuSNMEnmzPajp18W5nqDaNxtMb0
fulye4Mx8kka3dbW4a5Nym/Q7rf9DCO68MmebG2YJ9Jxb8NJJHuL3mWatQ/pGNL0t+60H58yGPGX
UrSGvYqmyd/FBAhxAnJqibfX8rjulfmo5bSTdmFfEWzFhLaBSYGwor8NNrN9s+oEGHUcNW90oPk9
H+uoZ+nxVYWo+0aF/TCC/70TEwrFIlHkbbVOdeiatDrauW2Ag8V51pW59xBEZIoWmL0ZzLfqUBhx
cnJYFzeQHJFeo2Jm9SMo1RzVU4dTYTf3roFu0TD3Y2JJtGU+zf6x8s0by9cmrim1KKxKdT+iJjik
NQa9CFvwochqXNGzw+m96Mwb0UZ3zTSdOtuZtp7In2js96c86tkfcvdZTfNiDfPhZhK5uuoWlqZh
N92t3SKOMIMo2UCwpK/YUWdlOSaVJQPvGPtLQpsBAY50GM61ZF+z2EkPSqNx8qOZ9Y6Cs5wDoDgQ
DDao24EKjf6M7q3+4ccV4uq03zOmtNcGcQMHGaafHQM6MR3pBz91qrWV0FHSUpP5NCQDyFXcxmWT
VbfQyq//sI/Z/76DBsJi30do7Jjhx2RhEm7HrJIzOa5DiRQI9odB8gbDsqDAx427GYdUa+WPPUqs
AyzOFtc3Txcge/NsZlF7Dse+w79Xv4o06x7yMQmR1XasfLFVVbceKMJDbpkUvEMRUzj3yIC0JpIZ
jPNGVuapa00Mc038oxKcZo1eoqjoygfeB7aXvnj79ef962Hnt137Lx+XCfbPBUPmFoVd5551MDwk
ArLTDviggHwh8kTWv36pZar8oTYJhG/CKuMXOhUfps6kI0Ylhh7rkCr/B1heTPOe+wU5WbXpvOb1
1y/mLJXZr17tgyzRSKNygJFsH7x0gI/nOS/MNBXiw/jdSjtEZSLv7xXHtxPDCjIGDE1vKm9IZwKt
dQkzdcj4JhkU9vtCtHqXSYXaLOKBj7UqN2nKV5h7o4lGEekZ8szq3szQLzXkauGotfjTmEZjKTBu
9LJR42w0N+TJnH/9Of/u+ws8G+OSY9Ey8j8cVi3DTSwjl9ahDuuHOi3FocxQ/KWJ9w8vZC1/0scL
+vMrfSiF817TW7Jj5zBAjkPaF363mPsy+bBrXH7iq7DhYmkPqXK4VAr08erNrz/r8pV9eAdU/OTl
+GgXuIeWR/en4pZ4LJBy7CMH0Xp4/wRZISXNcko3Ydyng2GTvkCU0z/ctn/3wf/ysh9qarvHm4ZW
FymZ67EM4Orwc4uduYvI6ulMg8APfRsZkqznpcrxR87tv/7gf/sW+JJDbBCAg+lJ/PWTFwB+ZUN/
9uCkBQlwbImpJy+EpIM17RmBF+i2UI5QbzLeZNVvd79+A3/z6JJs/Ofrf1gl1BjK2qpisj8K9cWR
qb7tq8g5la3gITbi300s/9n18zffs0DnwndsMaHzPnzahFFa12NKO3iOzG6sMR9XqYQZ/evP9DdP
Dtfzz1f58Jmkg0QdGiK+6F5bq5EPiC/MJaBGNP/w9f3dKy0fxYRCwGn13xa+JlTVPAs4hRGazjGw
XgoB3J7gn19/or+9TX5+oQ9rHucP1UdF5/J0Nv73dOzv8Oq7+1ARcpROynmkL084BWniyV27FMp2
0zf/IKz+myOza2LYXuRFKJY4u//1Xo0SPbYAtJ2DIjEDNGM3PDV4YY5Y1p1D4+hPdRNCAmXeisB5
onwjt3CNfN5c+SW9cD/Nt6Ab2R2oLmC5xeULJI7iHhbTc9ZBNf31NVtikT8sKq5pEfBJPMXyjr0P
t4FhEcZXzh1vLVZnGBbgahMSG+oZaa4w5gv59ISwK/OgZILGc1w6T84y4NI55btXFduhZOvohupI
mRpts9ralA1nGomsf8Uh4kfTjPHRbEtKOMc9M6pqASv6HM+mYEkOWNRVM3xMcs2R7RffyZ+ywMm0
5doUg3sjpfy9xPnDqnX/+4qJd+vnTvSH3/7vp7rk748N559/4v+93vXCX2Up+c+Nqt+Qb//rvnt7
/y6Tv/Srfv/JP/pV7r+C5WE2qWCIL6U39D+OMHpPocOBAT7hb81rNqg/uteO+S86VQJmI/hJKEgO
P/R/u9fOvwKXR4YYYJyOS2f7v+lY/XWP9FEcUgu4GBuESRfb+oga7CtIt53yhn2T9eHjqLrprqoz
TrdOmHZfjXAGgmiGpOz+dKH+uKV+Do3FbfbXVW55ZXxtlkUzEJOcoFL463NP3zoftEcEn3BJMUg7
x2veSnsk+zMdLDRLqrHwV6TdqF6LJmsIu4PbvBDhUEGsSRQxxd4sGnjkksf9c9RGhBROHOxXAINj
/JWo7dbmbzPX/Lf562hbFXA3ZTGXtUaQJqumDqavztiunJ7p8h4iuf+5dEv9NtV2+IzosUy2JpEX
DxNEsGaD3Cg9pwmCAfQNEfbwwaJFU5FtjRDXGzaAiM4uYV37Md5N4yzWcq6+ZiSGJr1D8FZtofoj
hIxoCetGciZ6CFXuv4QzJDkWiOymKxsE6gk9zxqUsog+GUORErwRG/VxCnB9Ey323a+9fE+vfRcN
mY25FZrMOCb3QaL83aCJLgSKCgTEqp7hyZBYCsqJT2s/DoCQVmloX6eyrdZeVlTroqwhd4eOe0c6
7ibQ0FU54ZBThkRlPXYtFIEGX5vRE24DOZb5urbfGgP9Xhy6Z9NDFZcwWcOAsK+iYjd2NMrbhd/a
OuFeiE6upTcjCE2IJrEjOd6NnWpvTMblxznqOtwyUoHTpziuYQmvLXSZaxWDe+nH1N/mmN8XlWS/
7z30OzZomp2bOt7RNX2B6tuG6NQpdYpMubSvYKfNmZ7XyqvsQw54kJCiuDwlZS72oVdEG85LYPHG
ztgCGWAyIkGLE39luO+NNcQH5ZrGxjeEcYsMoDpaMNiu01wwKaxcICUxahOGBQs/HO+Z6cDdI/wo
3rjQxDivBWI5ZoJAfMM9n9frZnb43gkOgASt3ODiT6n1tRrs8r33SSaAjrOQHOxkVFcCF25MTcgH
BaIJK80mu7qf2nNsusaJlJbmlMxl/VLScOZaI+gwMFEy79x2HsHgAOPgqK5IdBICq4qo70tCjWyG
Gx48ARcA18YmqvMWV+FMpwnd1U1BIPAeYlNR7nMjwfHiGR0sfXpkmxYzuL31DKs3V7MvgovZOQnQ
t3YaHmyGyDs3Tqb4BLQfw1Nrtv5nxIkTelU7n2/R+9E9aH0juk5jYB45petqia8ob2YeqGNujUzY
EzOID25YuE81ljvsZgCKUeYGKgN/PbmIuCzRFHdOWQ/PYdxiXMCNNz7mQuMXISOgG7eBR5rFaRp7
63vdki8inNJ6zpGPqH2PQJlz8BiFO9exyaNzZIvldoVQwLgyCx93qKzmcy4Dsplsz+6IO2jhQeCM
yJInRXokScKtce4aEz88fzlrL079q5q9ipYdUQm7YjbuInd6F3H+VZbJjTVk+8Y03J1iEr4qB7s4
DEno3AkX0GTrqpu0Jw8wQFFzE/a4JmaL8DrbRFMKswKOZdPeVmKW98QUvCe5JRDudiVVOod9ZB3N
pYKZuSOPMtz5E/qquPTTe9ob/SJUCc5q1va2H3X9dRbdsJtKQ9wigouht0wLFpBZ/4+ypOOwSkcb
+VMSgLlC6EyzbK4mwtK6ybO++tmYngpbFWeQPHTACPlDsgQbf2NZZEd9b+vJKtIVUDx3DW+r5Lk0
XvsS1UsvJbYTy/uUJ/TJSFJWDyHYgxbiEEi5nrP0aVbz98bByIR6y3V3tDaiTWhP/gVLJfTKfBGj
aqwbi0riWPdJeW+QTULAmKOcNeeo6AolKHeeBhKE+xWk8P6Yx+3wrTdKdSuZf+Zb8phqxEv9hF4T
S9mEIMNC/6h97qyooykyxF+DAcuoUXnBwQmovxYGKiIYuD8Zc0w0IHVC69EkXVeP/AmaGzge89sh
ImN7jKODKvAZQv0/9UXiXxoiik9KeD/YnUhWr8NmX3QthjXBnSKPKKX0mvKMbnA3z9CCU0kzZ2NA
A3xnvpARBpPTX8NfIkFnR1mPvHSBk60CUtVAZg7XdIrzlz7tUAf7TvDdTCy1J5RMt6i/g3TvtUMw
HJoGLydKxCEAOJ2Xz+SnTutBW8xFiqh6V4Nw76Vuo69TAezqUbYly2w/Vwn2wd5ZZE2d6DJO3iZl
smHF3TZvuvkSpwhLMmV+bZg07LxSkt5IVsHZh6aqu+rV0KopSeqTNu1fmTs+wHcG7fsU3Bv99yYI
LMZGaf805jbZf5GVubdIxUa9nQQe7mJgtjIF1UPkYESDMthtOKsa90XvRrfaWOJWyWJNAxcbepdu
LLIrIJLF0zaOkSH5iHcDtztnLTuT1yEZzlPY835yCQfzvfU14xZCf0ZJW5LyfTqmc5isKatxahvY
2VKMDBt8dDdNUMDMUB1YwgFdX0SgxmZOYr5kkGnnzIufY4fUSUje3ADRyPIcOwi6elcOyIDm5Fpq
oHe0bHbGGG1ppFhEqSj7JtEp1jijt7DI+Om7ju0eyPqA2FQGENINy14hBM/Xk2ztxWbT7RuQ/RgX
rHFLLeisJS14Jgrzp6gYuJCQRLel4MIWxIle6mAALSmbT1i6jCfo9d2hDz21lBqMh0TX72t6AntW
oID2OhmkeG3RxCkbpUHlioPIiJhOsvBeGhOPb2m7d5rv3RwLCTukGzSJirkA/EgbfN8FJN4iNHV4
4FPXO1MuyM9psHyp5HF7O0Wy2r1IG1K0rF4G27qKxs+hbxZXH8HfGQV//kNqTxwNtpyjRaL9S9YU
WCsxVw+70TMJRHS1qogxNKMfZjKrg/AmMs77wm42bLPR3hgClNt1aqHgMkJ2zjwezJOgg7on7NV5
C62uBcRq67sy7Dn3G00VplxvW5zisEQzNAzMwmJIkY9xaHlnMxisJ5SF0fdCAmpaNVWA+7KL05yF
yUIw2ZveKeZS47PUGX56x0hPPCpMKE3is+P94l7el4Dvnx0AyisEIbACSqiH68Qu4nfSlsiJ57ju
13wJVXmfY8x9ooWdHdJEkr+sM2iG5jS8ul5fnlWLug23rEhugZbBDZbos0898Npw6yUMlfJsmr4T
uFLymAZ5fu38cLiCtW1aTKUQfChtQaFS2u9Ag8vnAIbUbZRU1Skh52I/2UB02Pz8kRinTsSvqdu6
xBiZxdnThn4axtI9DFU6PBih01NNiujeITn8UliBBakn8F+NghF2G7f1q+OCfSEtfSX6GGdiJm5s
7KTztjW8QXCfuSWVe2JKlCscSIU9p2Si4mPTftfta+wfDmrAVHN052SxUpIURGyfRGCssFmWt1Ho
J3uUdS3zxoqCsZz6q+iN+eg3vIMqqKxPjhjAAsJIdZ6iaBTxdiYg3Lpni2B/U7E/TCxgltiUEpBY
UUiJKq8Kd8KpiBwg7eFW5W6GIzF8Qw9iMauwCHcKsHQAFRO7tm2Sd4qWYkvUSQ8Xcy5Q0Ss9VeRj
jd0R/5L8zEM7X41QUm16utrnHS9CkglmowWt45WwPEXpxPek3Nm3ozQH/VY7tm4fJp22xSOo1tjn
5D5nUHQVB7x1ZMXElhG4riMYggPwYF/1BjbKYGB029TZtXTH+AkNXvpjNshKYGgVk+s5Iq1TnSkf
GsItPpNh4j4pDSVzNXV2+KrmOJyJbEyrx7g0knc9iuwEIct5a1170bsSbcvX0Qh9xZ3pfu+cej5h
B3IW9qhur1NnsVbMrc0CTeHNqgYPOt63GuD3qpOOemF6b77hT3IZQ5uie4IaLfrbqG5dhwze0a62
Fo78bVxmHUPVaYHUI75EVlTGfrdKlTWlx8biJtyo2Igy6nYJwrScBMhFfAond8oC0hfZD8+1hfyf
kKm2uY3R+CWbkUirCyN78Iz8gqy/Hpr42NbKAYc/JnsCW5rnBh3Am82RCBVk0147z33AZ7GJdSE3
jQyCcz/FQDi5D1EGCfMN39j4BetNBn3CS5+zeTBeLRKdgi3cS/ezSCd9Gvpx2g1hUC/IYfEQuwE5
QxA9o4ObFdt2wt9NRZ3caNsdD63E9KC4hG+DHw83dIXFPYHO3a40/D2OHf8u9TPyiYVtbdSgsmvl
Gu5lIS+Aswx7k1CuhrGdDlpkGH4xRee6mztWHD+6xEnwRcXJO4Jk/aAachNWukUtv3JsJFYS7McP
FTSE6KoSiJyNlXkY7eS5C0L1MmY8OcQx4x8vYiiRWjiXSuX1KS3c8iFHkRm7TKVp9YXXlnL2vijp
QOk0bb67DnSANB7tAwNl8TSTHH2aY9PcWnM/PueLlEwaOaboyMvua5pk26lrZbUtraa/0ZG7hHrF
zVGQe/owLMI1p0kBZXeLok1xJv2K/coFIVX1u2mRv0mAyHeDN+bH2m9flAldZKNhqVIelA6hs3UY
rDuyRHaYwOe3RABYsDSun7xwqIH6zH4lica+QJ7PzwUxiK8p+fVfIlzxey+mTmNbHa5TXE9fUmqx
26qP5+1M5/ii/JyJHVUeQfKF6e5m4s9ODvP/SyS55YH0ESrU1OoLXjRseXOfvk0isAkmCzlSW9Xg
XwKfwxo9O56ulF1lQ+pcgI6MPSUYvWGdTZyxnCjfzU2SXSqEFs9F4MmT10TZM/nxHFDR2nMSBBsd
NIsiInGsez80wfr5wwjtURVPemrsS0JO2g931Mjn4V3aTwH15K1ZsuetJprueP4xg69VV3ZnM5Yh
cRIkmx0MbjRri/kOEV3f5+pFIe7Aj2y4zUuvmzbk3KWtR8wczZPf2fItI3tUgwpXbbXRYVu9SllE
b2NvLp3XmPXljIlE3M+sfs8zBh1xQ0Qs3qNSEFiN2gOSSdyPnK+QmzhfB1GBWLfLeZ37fv2mRwYk
dmT6LzXZYGuv7OubmEptMbpMGW8oKzd5FRS7FMTkNTRYvS3ReQeupLzrLDlc5nzo31SphrM1tIzR
7CDayhqODG3saTcjuLqR4JlWdZw2r53P6CPOS+MKDtpDn29GAAHXPUs8s6m6rt6JlxP6FgRa4h0M
MaMzrhbroyKh+Zl41prAKFTUPwbTDXag8aftRIyTWEUzio5VjeXnJecMuYmjFHWjjywcJgcSSuwG
EQdqO5FuCT1o6G4mGBif7TC1nvys4gZK0SPQ/pH1daoDlM1GHFfPbtn+kHnaBrBHpupt7qLpB8Sf
5Jh4BstQZMybpGyJ4RoMgEI6/ZrHNLasGuuDP70V2ps2CFjM9diT7zcmmbkUY88sMvUSxPRoRsCW
Mekb5zjrUZ3ENbKrEEW4IeqbXJGXmqjg2qfSvYucqLwxsXnRnHZLugA6yo9eX1Xn0a3EER07t4NB
0+80l5Ctkb84yzZV7rDytQi3mLhh4eFJM+azVlNwSeMp2dD06PZWGJlfCa2OvzbWIsPOq7rk54v2
LBLwswMnKOKonP6aTf490gOLvOFpvBI+Du4VtwGp6GSOEjQfgp2nKXXn2ebd0hP6bBLd3azKZmTI
mhuALKnsiNUCkpVdEj8QdLukB4EN3Q8kXKKXyVDVs0v/be6xGyTFswkCXcCP7MQDpUGB+4gQhTui
JMipGyFR924i1lnhpBtH4nQJoonnsohCMo4skOhQ73OSIVXdnd2OXiKSfjt6aePB3smukZ+zyTEv
GVFI4AUSRCfSHbwHJ1XtpeXV1nXbRvcJQuaL2Rh48qKw9s9qAXU7dZ7hOpjkuenN5py6aXAF49Ls
Kkaf8QZwevU6yaG/o7km+y3zMUqawAc30A5k665mgJcwo6ZvIUyLTc+0dj3HtvluzDHhw9EcPQpW
JqCAynbZjmbAK3MAMClTuJk9c75bFB37xPZrfGRZGVx03jcPs0HmL6NVxiKJgaZF1OP8pofCPzXE
K34SXssqqGsCCWxHoLujecUQ2GjkHWcC+1kkEwZp0xyouXz34Eg2s74eVjH+E457FiBv2/gU9INc
ZRMOazjoMd8mmq9tpgv94MM3WLcTMMm+EM3JqM16PRlV+8VkprUh7AvVMopgFmMJLdojgKhs7waz
7nddTgSCNWs2Un6L+c0NyptC++MOgV7jb6oka6b1FDBbdJ2EZxypV7IWwRTtVd52mMKxAN5i4pXP
AgfEM1KFeFOoKUtAzAJXWA8iQ/FSIKQG0JA2T3A7SzBXntTTZvaHrNpB7jTrM/w/m5ZsU2MpLWl+
kE2cx8YLwhh5CswE0OdAEZ2vE4L2rojCu/SM9SN9xJ5rQisDy+uvZk948BbbVP3I/HLez2oUX3J7
FtdAh7W186vCaLcZInIwPk7NupW1SbhQzIWtwG4EDkwl8snWI5xEPL5B2LwoXHVfB4NUzjVcUtM9
atlF4jTT6n9K3bl6bZ1o3BtZ1d5ptWRQxl4rH4YpxoVlT3Zw34CluDqDW96x3Xz28GxvogBZPIji
8ItRO8mumRC5piD0QCba5XMmM4J/q0C3OyUShJUVuQ7GRGxMQoi8NBt9K9JFmekhaHjs+0FvzGgC
7OEL7xRgBL53JkGLISPY4iZWMwSPvnWCd7oGqPfiyg4hAcOPYvKmDXdj+Lgj6SG38xodo35Nkc17
HEbs6dKXrr9VyUPa+Ept4kqET3kfVZgtCdzNRZfDD/L1JbLZCQ6SbaZcpXPSfw2SDElOMmklV7oG
BbKi64yoq3EcvWrGqQg3qT8Z7bp36NRuhhrk9cZxajyQ02TfF5A7HpzJnl9onI8PhlDVtAqtYp9W
rtz3snE+ORhN71Ddu9s0MEZzhyN02sjCy+DQ4brd1mNAikyTJ59TLYoz7MvhvjPsvKUFaSXuuQ00
UxfLQo5AUIAFTySlyiJExxheyV8VtP8prneJp7M95lN9p8PO7Va+i+d4nXMhHmqMVsY6buz4PbIS
n5B217Ie44hGL7NLs3zMUh/yghFxgAYI6rGdEiyH75aDlC4d77arLXlt49q82qNT3U2GV2WrKUrb
z7MGWCfmDDfg0AbiYkrDpI1TLTyktG8t7LKhfU7bkGiFkgxGBqmK/ic4h9I/ZZMRfUvzcn7DzEyv
jMxuzp6D2Y5ki85JtRGTwzFu7obihbsN4WZFYDE1fSX1nTSd6NtoIM5MbB4iz+J/8gnrOjpWP18I
a/BPCQj1PU42eWZtZwOSofkuXdUlkJLY+VB7Gp+EkTbYNzrg3GRd37hjD3rZSdQPqdx0L7htW2b8
i3y57bX+LrKoxDatNpwhCqLhIZ4fKnf2T8gfyg2xosWjC1LvZNjY8YFLq/cqa52GAJyJgPTCrA6Z
C2J4o+OyfbMacjq2sfLrK0ckut9NJT/lgxM8wDMuvs1AyB6BtfNLxzokYyxxcc8YupMRXNkg9aVx
IrRn3Cqu4WM1yv4bO1AZwF0YwydjthzYvWVnp1ti7e5V6ctrjTqM6QFrS7VyleueQ7Pv72FPFOfG
4oesiEykGCrOvdAV3QRzKtUXBItAJkxrsC+BggwUEQbtkN88FlfoGGSsJmFmN49RVM8POmfEllDc
3Jj41B8YblVHBC/JlaCTZm3n2lsPQ8tRw607kjCsZDUnxL6UwyRO/Fh8x9NtfNUWwhh++5pEQ74l
cFK/cWQObpU/z/eTLt/xLW/KXBEqkdSEZmThdBFkJT+mo0OCeO2D10vCxykFNJKLwmNnpHV5xN3n
ZStnRCWe2aZ4chakXyh8Hp6p6TduwXNNDoUcdwPHVyY0ig6HkZYRRuus/+IntSB72USG7zq6u7oU
9JwECg9CQKDY5ZBcN6cUYkO5msJYfoZA0d0wXf2GgRsbcNNL7y6Jbf8y4gR60LQzvlQ+PoVVbkV4
6mLF+CZR3E2jGR9YVaP7OiUTJCbueZt3yv7RVNFgrCQ6U2SUtSTBiLZ7Zy3Stalce5QIZ2X41YsT
s2UlZUjJktDhzC17JISWaQvyZqt5Xty6x5Lru01a4BQ66YINMj9nG0xmUO/xZLnspjEZrHjryy/C
ieSF2aHa4sUMfmCslufRyAt6wVbw2fQTKAOTKgJjnZtDuMjqKGT9jLmVMytOMLaVjGdpS1o5ZYus
nWkO7d7Ge2s88qHXSdEbOF2JXnLpkaQrjz7Gpdcei1zot40mpDghpoeZjxMCUUx97b4DpNFfU8rW
p1Yr1aF41cv6H1XqRoQZULPZ0fpLmzO/BPDIoYcWKaXJDLyGlSpjMR6wYDKHyXuHjSbvk8tomObX
ggynEvMHQk6GL2xcUxWKY1T75pkPhYiSPVhDN3GG4+T1IESzKq6B6nmNi1zeBtGQRcX00ga5zdwG
5odtN+z5VZv020iYdbSuowUj1fswQlSKcpkSFdGbHxK7GmtJ3oqXT/438BSkzAiTid8KiAS7FcQv
1P5WOHm3aMcS2A+9gxo9S9jFCPAlun4lhHLam1BrXob8kfgAOaAO16VwrU/F0DFHscH/68HHBtZD
EjvSZC/9jUdmFv9i5KFbRSStfGJm6xSrkYEoAZmV5723Q1rdNkxQ0SSiRp4LtstV5LG1H3uztPKN
b8/6lX6zve3yzHjCV2CiOe1ncCmh7tcu88HtmJr5RqeFidJtsN9zt142MZAqRpTDlnQtNUQ7DxXB
OqQ5fJ5LE+571erbyWTi7ZBzvSH6ul4xprFBbwqLJ2uwt0Y2PrgGndFEjpyuJXngVQeEoyqOgVFB
ccgtuRmndvhuNV52UZQTt/ayOsfzFGx83yRhdmjsdTTwT9A50fpYSpqvJtG3tzImFgwQHxzI3kyC
dasHCYjM618T1cwP3TBUNzW2GMbo6L9cOyqPheWb32BR+tu4CbqbUqHOiuY269ZNOqYbRTbVNxk7
ySEGNwUjE3IS9Tpt4hrQ0e9Cv/+vDfqHSMgF8Yyu8z9rg65v2Zvs4X79rAv646f+cLUG/6Lv71Ma
/w/Z6/ccSBH+y0WZawtvYZi7gYsE7U9ZkAUmOkSpaf9mV+M//SkLQiXtwfwCFxaQ7fRfJUEGqIh+
1rkhz7G5O0wSJTlHgskTH4TCNZU1N3cvdyYdnIVVq2V0sQu6Nxjga3GsAtQGK8ntisAiy2AmtPT8
q01p5OWt7GidrEo7Ds72ADtkdDTIlTaEtVGSU1isKbMb/Pv4jIhfV6QD3ISl3qEABAOct0hi91Pn
sKwNxNkz+POMEXCgG11UNy7ZLKxGxyTEerolrrhs9mLKwDKmGseKxbLM2GvM6g5sYDlIXOxRfKOD
QXx12lZtYxK895ou7v1M9Cx95MDYliSfY+X5P9Sdx5LkyJZkf2V+AE/AYdjMwrmHewYPD7KBBMk0
cJiBA18/B16vH2npGZHZtMxsSqqkMjKYu+Ha1aOqWbVVuqPV21YaH4dpfE7lmBcvZh75Xxzk5ZvN
Q7heT/aCKxAIFNNsz+Ty05tB+pqLoiVSA2KIXOYBH+k+YD37xEKg2yeTV9tUGurufZoQwNU8je+4
FbEoDPTK3XKFJ3GpKCn4wXvXzghdth2bGx5czkxQqUTH6UkexHdfW8TmyNJRd0VtaaI/yJB8p3TY
kZ9mSUjJKiEiItsOhL3g/3Xr+pbT2XsXrUWFRYshhKmDrNabpnHylr+072auPWHvnEQ/NQROsQCz
juC7iHNtyWKwoytsZbdtwzeQ5WxSzJHgZJ2W6ZfTdhlHmqvu86R2f2LLGl/CzmNh3U3k26+GUZc3
KptRvB2FABzlg7oUTZnv+1lU/rrwOvz+5aQrakOA7i9xJ9sLSkxGM90cJtgiZ7d6pLQi1Vu+gvHS
D21+XyodP3DqEvAdTW14iJO22aPSybdUjmQogXYkAVFWZYfSL4KOuxN1ozXus8HCnZHgHCZQLL6m
d/fpp9f0PMTDiq0RuKViw+LVZsnvzGIUIhHDfGZPjI4RCdIV8GSnul+rqoFeaaegq9chBohL5/sk
UnD4ju9koohzmoRcLRNK7bpt30aF4gU7gV2wOB/ClVUnJfcDYhA0TYGpo7atLrCDk9nR7122yOem
cO2HrhkEHsXGW4XMwf3aKFkYrMO+mO8ZF538kehmBi5cowfSQ5x7K55bHr9mXO/zpsTZCH9XvtOS
mZ0CwBxjSY70v9kVBejqWDZ2dYeRL4kmylPMESSuhnPZ0hDmv4cyZZwprMTS66pjbb9RfRcOa0fZ
mJa0XR+Fg2dzV9VxtzMrE7vXQH7ctK6GVj66s83+XqM0v5F0pF9TMxdfPt2mp2DomXxMdoQryiuy
tVuJ147dOGsuZ3BXU2u5n4GX+OadJBfC3xb5kDNCj3l3pzFaTpus69ybmtwWKhOoL013Tq26N6+K
m684lYJspWAS+b7mHEh3gEmdc8hIk8F26Jt85sjsWadEfkZOoOZO5JE3E2Dujhn9+vVItz3pu14n
zW2SOdSq6EQNv6Z5XCgEZdPPGAorYscbCd7mMTWVmELNMGONxQv2s3KN5DNDLYgOdhjnPxO84S4N
pXMueYfPq4D72Hft+9VtEChvT9DsfMFtD2RtR477TXJFekcjqe+expm1xS2dc/2HQSvuKuW6v7bM
KjwLK5UvvKJSpMaQV2XJI37Hw2R6x1KY32opiFauTe1yo8ykTch6WyInBz3OUnTzQLJ4m+Kp2Jbx
SMxPlzKNnIrW6v2zzP35icPGK56zkI29SA1xa0teEDs/0PVNI1X2lkxO1K1EK4KAdsPCeNXm2N1m
GJr+dEM8N1y9yRjmNqtz8nwDyT3Nrn5aR4cOZ3tim3thLS57l2QBcvaBGY1d17MW3btlzdsMiyMq
clvOqHx1MLW0gVUeg5eVWxtr6KZV0fFOcQnGK7cNjrWT4yUfXFuLg0ON0Kq1VcfOu1NP3UBVAZcC
k4HfM55cjjN631xN1C4t9AG5WCFWXWxs/acXkoFwgDgv74mHtdkRzFN/tAiPPGI8mt9IyurUlnhK
sbWUU+HTi1o3eTKhRT3+bJRcyDicqcWJESmgxx0Cx+xiqeydFcfRYFo/ZN8Fd1QROB8Gst29PVnV
zuFuccklK457wuQLDhRbev7K8YbyI82L8UAUBA6rblDJj8/+ax0ndSW2xqzDkVtuPgTPJKj3f8Yg
sQuG10J/eLWLwAqXxcSL0NOtXaOgFyYZI7LpJSla2xwogEgqcHK99ebovqv72dyC4EsY1jbg1HIN
y38luMrlwZ1FB3M2zR3tAvnaDSNYvDAYT7aByV12fQw23qGGWKLfqoi9f5S13XszURCzkkW1tBxd
dYLlfWgsnrjy7PW1c9dq/7FjX7ZxfP1aySX4f5Ed4kWAqBIvOiUOoVursXF/xkWwIJOCW7gH99D2
atq4U/KRkUaAhzL47aF4tNI19laSV5s2kgX7yyaxUvJ+Rve1vSonleIkxv/aYBam/mpwjq7vZbjX
XGzGx+Gqy3hGBQTrGD40r6SjUa8lqTqE3tVLP+cYi5/qqv3YVmtdsKAapPRyxUaHynIx3s68fH4i
Nr/VeugZddw4JwnIXLQnt01RobhzHQjXNrZwGQmvFfI3upF4RwjpoNkgH6QAcLm5ZcEbPGaexWK2
j/JN1IfZd0EF2x+B/+89F05Dz+lEWDLX7XU2+26yGUz0A8ThyL8N/MrHijqU1ja7SnDmVY4DO2Mb
5eJH1rg9+6SCQl3EPFCtHnpTlFQyFrxgCJtXBGpsJT5Pa9vX1BCrxHButdXPYBUjPXnbyuqcNzuI
s/QYzk7zWxDtjNIHK4L/WuXHoiBykB212Qc7ZzTF3TznDjGsZR3+GmYVns3WJpC1tbr4q1CNc+PV
tQFH2rMvVfaycSTgefow7aBNN5PbOiSvGoIY9I7Uo2APcYiDvTU75lDp5+TSTh6hRRk/5V9WLeAw
O7A0H/+tf5MVdbRWdiUI9fLt5sIQBaKc0bfyDddav3Ughzd5Ac67Ke0luYuH0ghoEFJKmSPtGWuy
JyO8Po6V3nWBFZMp7nst1YBGPG+srK39c08cCx51S9B3wmG3G4Z6efrNuFR4rJp8Pjsv5l8ePlz2
naEQm8LL/YeB5uOL4zsBJXUiqbhNBsFbOugO56sV64c+JeCWbGu7nrZgcgwFSQVJjOBJqMGYNnSj
OHbD/ALU+mCrwn+Mmprgtcj2sZRKjLyoB53N66T3Qr5nfN/k2DfpphbL/rONE4ApBtMHxPDh1EX8
eNYRGUs0lcezdyFheskOrOJJ7VGWM70VMYLIq6Re8LddF3bymLUTx4UclukojdWs9lGH5ZRBAQiY
VEp5FkpRP1vpljAwbhyS6PAiCUru2CmRpBzQU7uJ0ri9ZJFrkd3FM/quI+fsVHZ9v+UtUP8mvNN6
HLI+bjaWCvOHeB4NzN9meAHv8IB3wvB355DoR6DccMJSZbxPZsRCPdIpEY5V2r1z/jIuuLpFxioE
zdlFucRKDYUpjmYpyQJPJiRH0n1zyBZz2dRlbl5wCJhpRn57ErDjD528WQMBqpxJ2czco0ksviCg
oIzqg2D6v/GD3tLQKDGBqg11DjvYYi/ZAIeTl+rGsZ72JITI5IalenbyOnfSx861GoCYNNcEgIV5
+Kcv++K7qYXQa8z3pb1tuEtdKAajFsCPh7G2WMKTLofEVcfuDYuUmuWFkSpab+Zh6CGoAVKNz6pu
gsOUUmpQwUGhBhwxVs/0HM49150lw7MSbxrlXTx6bJ+afcgrTaGdjrCxLJm6Tw/Bv5mkn+6G1iDb
dMxZOQDPG/sRlvDo8H7ihTkT6HWO/VaN685xe+d2VoT/r5yK3RZRMM8mz5sZ1/gUPWQhM8H9Ug5W
AqTNobTPuesb0T4uqLHcFkJ2W9JHiG1aOyzjuankpVdPyaqMtda/4rliPCJgt3M3tqUK97ZNnTK6
8QAA4jt68jr/zk9Aww4pNtwNW/LyoQ0ybZyFx0zyPOE9nfd0hnrOrhnnODnSvJ6kb4lUdXHwUNWn
ncoIHvoo5sn8DCktI+F+6rzoI/NlGaEKSytgSCKQmK0sRDWlSX3TMGbWI03Klk0nW7yRk21+wKpB
VNYtgPBaR6TeQgJM4ZnHtx4OmbAoJp4Ki4gCOOtDZdrZvpVsJBkD/fEpLtuioCyD5qCFl4bKKt1O
pr8qNxiC9VxYVcvWyW522oh7Y0O9jU/tqRNGN06Np2+nUtLgKeSIguim1KQz2WR92nDIPBnQfg3D
z5v3MWPcVnqcil/54kFaGzr2ZjqDhlYo4lXLKTxEIoynVesVQXzhIeU3R3ekgZVTbhjO/eAIAuOS
hOL3lxj5If2yeA+TXUqJw6b0FUmhMbYcrnYQSfd0fIbvKcMdFY9Ti5oKDh64eD+SaT5YUgT9KTZc
6h1E5AVUiBCAuQvsWvvwkbVxSorsHQtitHSqKHlPXjHPRHyLH4YzhjG24vk+bSQ1CdrsNnWSsXcn
KG6JEXQg9LPRV5Q9RZ0mVJXgQV5RRkRZA7PeEaaYmxErhj5Gr4+n70nWjnNsBksysJp9c6N13z11
lvbXHYHf9ER7U3HssXi4q8HNHzGtcDYR75ed8HqXNlMLyhXC5uT5ZFjL/guBkoAHi1IZn6dQXQRo
W9xrDklTS3xCCKQXNnZQjIpeV482TGndTb6T279Cs+zlho+GDCSdEJOKTquQAg96hHHK1CYgrCyD
H83Rn5BtbjcvjeVyY8pIhfnEDlBC3+Y0ZPlBdA4Ulpt1i+pH44b06nwzF7RLeLl0HnVSuftEpcUx
tSdzBh/hx0GgZn3idUnPkRGF+DakycdXAXv9YW6OihywT9mY8kIbYfs6admme6rd7Zse9/mxg5mh
BEEQ4i2znnCErC6EuQ4qyyxgxsHtN6VOaVYMu05zLjmiYFfLN3bRMgtPwp+nYoXcw26pFBFguOKy
T8B85OvFWsCGek5Ss98M+FU5sZEA/zLI/rdtN5dP9I/Yvv832vEs/AF4AP/3i8tfnz/x9Pk//gtX
498/9O+uRvtvHJounSmmbXokMmLb/Wt9Gbh/g5xhKwL9SCDfkrv39+2lTVofH8D2Ev9iSDILX8h/
bC8tYrh8NptsSRBAHBzr/9EQ+G8GVfm7+q/chWR5/qf1pU8QmG/5tu35BHvREvrv7sLEMsJxzuZm
x+IgdjdmLYl64U50ZxipeQFntV4FN+WcRM0gPyfEe1o3osSaRpV6+lS6NmOW7iX7vIFGES/JwucZ
ryQDTiVt/4wM1MUXKekTX1H3Ki4sImhwUra9GQ3HREDLH0Fhx5fAqzziKamyokf2Mqf1SLJLicbk
qeJZziU2DS9w7kCk0oONd+LGn+G6aq4w90UGq7qiEmJcQvHbgtqQGH2IybklJnaiJqzkknzCfEq6
cd2JCUNhRJg+uUR5dcPJ+ViOfjE/UpBCMqyPjexJmYJ24jSp+yceIkV4M7sDcm9o8himCMaO+6Mt
eV6voH7Uj2EIbtsTvgMMUoUp23M3lmF400d2EGynwbXrh2nK1I+L1prsEWKy/oKPJPyp5nn8mpe6
4INdh7qgJckhCS0dDH/HXoyDx/AzuyCDICiHmxmC/E8bBW1FTR9XWJxI1jPDBY6wOhIPtjt5+yFl
fvGdpTDQiJW5r3Lhf1FL6fZHx6efEuchBhyK+nxzXsUjYpnf19WOVQnx4pHlZvEqnMxnFybwvctd
SH1t1N+j2QS3OKqmYNsIjYBGbCumJFCxU2DZ7Z6Q1YH9jlcXe34qLgcutXKrnHUgm8lEzaQsZcNa
UjJ4duizyD6gp/xHglUNruAm4SwGHgoCynKEKJDsfEWJCuqP6dD9pDpad3IJxN85JdG0LhvfPa3d
wY2hUnmmR/u7I+NwhULFNpSkecoYE5k+CZqxGMsYzc2c75uzD/QMKZ5sYXesPs0l+7dJOuePzAvx
6nLkLk8efDofseJOlKi8XwfduPCBJqxfbxzS0aPwuLRIoWJAxFlehMnJb4tH5aRkF5V1fPa8yXsI
Ai98r4lN+4WtvfG3ORTeXreB+OYy4FP/wED8Rkob9TDg/mO78hNJMVjg2tzWOsJkSQpK81GsKZ5O
1U1TOsY+EOS9raZcNuch6km5KctHkQ5s3yrL1axCW3ulnJBEMbd/Z7VRrk3V83oPB+GRVdQ3mdgJ
lnHOwcSW/4l+18WQwlWcsPKI4Q3LmClqNVrGMBzNgHjY1dDxpMHLZZK0RGwglJIK+/itGSDfWXjK
lnoHJ+hHIljwnGzibNBUGnGrjHdwPrZex8Zg3fG4tYKV8mv/nWj/2sC8RZpstCdWyX0FlNbGrec2
dFxCk7MhHZfgKKIrG3siiWRwvB368mTSh8svGj9gSXkE9LYsx1sWVLL7FfVoGJhiU+iZJORPPcaC
S9BqCqiFeG15dTFeB3lGBBuF2TRfDbGp1gxtQJlqHqoD17v22Uxz7yg8nJRPWVPBApFKHaa/h35S
557OYd7YnuK6Pc1Wfqn5Qm0Wsmn2Ox9aVotOFNW0KTJBg7J6Adcfy5xBeBthoOGUnUXVHRDoH0LU
NCKwM8htlKqsOfLKRL9Vi5RrwQohYyLvlovQ6xsjBl1qkcPkpnO9+ssJcxx6FBkwMEEYEcbF/+KQ
GO2XcpGVNesjc2VmlrvLF8UZcUFL+rKh21kTM3XPpDUwXnsF0kl21ao5IIMGkLPT1ZpvsdiAmaFs
Z7Gz3OnHjAV/Sl3aO9qq+NVnXvlKnyajxgDjcNstYnlZO+G4qpUat5xD0tiMTTgcfKsdfvWhDu/J
TstpLVjk99TwxwcPlpV1T2k/Fn1JbvPQeimJM4tyH2mbjZMi4edo6Sk5tcjg68VySwid7bwWrT/s
rPq6HIED6JJBIrZfGYFxwQVG2efc7vB5b2ViwKdLMXd7c+rCs6paY10ajZMtQhe7LbdUdwaG6k9z
QROSwXIvqMbZ0e/6dGfWffTI0zIRe8226RlXxfgFXur+2AvzMNQFTIpXPoUcS1zMdRBiSuyrp7Rz
R7D+OVaMwRknL7sqeQCZdPDZ9HQnlyWZ7Z7b9nhlU+rFdiLv8Sk0uf8uA7YGm26hObKF66BsrluV
DJprMwrNQ7qgHwEpHnDnnkmVnGl3DuvJXGxyO68ORdFX2xp3wK13BUt0hYa1m2g053CV1m9ugsa5
i1LyyuxSWurMHYh0Tfbs1QtZdmyfo7Hg2VX2yj0qFzY8y2KJ+fFKxEwLHOORpY0VYXJ+pToL78or
RWPB0/Bors/cUIFzr7TNsIA3FN/IU0H/QEVcHQeVtzA6RWLz363bh3d8Le1HMYQmXojGp62T7rFH
O9DxkcsfS4UIEIia2d9YBfIX5CK8jFGRtLf89sp3tqzzZvRaY58SkUvCo5tucEf89AuRFC9sEpML
0WlhWbxhxyXKIDSS+FhWOKgo2MC8SX8B77dgcbcuZJQJRx2zAAqnBwvMSD2VXARuuL/XH7aF7w3w
t2M1hWenEJuhrig2FH7Tfvm6dz8aoUhPxBnjHOl3z96qQUp5xyqO3BUzdcuvaoHBIgwEJSJwVS96
4sKMTXR1pLte9sETOXcQNw5brxslWjbBVLPwzyn2SB7kb+MwM9l49ZsaBmntUQGPFYx4ogc3JSLK
GxpOZn651gWnc8mFtxUsVvnoAiVKarpJ2fvup3lo/yzspybrjf82F7LOWxi7fPDUmfsL5NxC4HGN
6OdVE0w63nh5n75gNSv38cLuke1o7oHE/ZuwvpLMdZK/plaex7htGx42Ez8cggeznq+wZ4H6ivES
2bFOC+7+anLmT33FC/VIKyE9dNE3UmXgbhsKbSXvWJf2FXuc4uzewrN64hcPzWjz4eVaFwrSEXCu
hIgV8yODaQzDInFyAXOjuqEYzMQSL+gkiZzVR0i/CO83pxx2ozEn9DJmPbsZT6v3smqBIBPYq89s
8ryTG0XRp9N1zbaPahAmAcVykhVkG/t6shcDvqQt3fLztE6FWb22Qurv2aw0PqIq8G6TGEPBKmTL
+hhX03iuG1U+V2HH11bXlXdbiaRPiJgA0gGYJT3TRrG759SnwRGj4nxg2MHeY5qRfGGztpw7BDO7
jR32i3QF5FZHDE2bqUoRZpxx0h+CC91GCnJH7upCeyBP3dh9tm3lbYMrR1voLLtzErt2aSEBDAKs
dSHurQW9bWurc9eNMOcXObfhM7ElmVhzE5jR12PzQIMX7VAjdNebGXp9/JSNXXivXdpNtxww4qdl
tmxX42hO0a7hyUxd0+TdxHlFLH9StFjHK8cAdgtiivQkP7ODmYT93mvBF1eeVQcPyZyCXotysJ98
njpsiWV3QZRNnkB4xf1wJaHjBYrO7dbrd9TIoz6vIMNAqtveB73spf/U+2Fyl/Yz/iP8ptOd52i2
HXLkms6qiifRlddODM/fer1n/HDipTuez/7OnkT6G1CerKEi9l7CK+rdmIb/aC78N21AQbKmzzVZ
Lxou9iau1DexXwXvWdDP94VZG1+VKNInc1qocrvBpVr2U/CH3PNEnWfZVNGKHMvix2EVdJmHke5i
dNgTcmaWbFxQvXRtXlF2P67p8kxKTqGD1iTNsfMFh5VT3m/zRjV7s/XaUxFTI8VW2zTX2lPO1po6
9tqlnec3tIzjxXcpCHudF+a+uuL3wRRQ5Ej467jLrEphrMuoaCNLEuWwlFSesZA4WkX3Bv1I+c+C
+9Nj1vGF2PojWswAPJrUzRg74pjUipPHlXgDhwB/xGTDWCaLqcDk8Fo5RnyxF8OBW7Os5lVIDSJu
hApXQuM79XGkY2erRZvvXCMe92KIMWcnU/Q7WswMrl1x/k2hAfE5cjs0WndfFW28HxgR2GCOvX8r
w6q6p90pPqJCNTsLn8LBaobspCVJwMPipgiMKSKptWc0wopQPbs8+3a+GJoD7SLyg3GmIf8zfkxK
juYGbzXDHOvqAWyWXpMqOimvT/YqRH0esTueu8XlAVBKsmoyfHN7aEk7EWRg8CTOtnhv258l33TY
pkMujpCU4iPVtiXZ1fgt3ChtkgZd7qdaw32SMJLesPjqP2ehf+arPSWnhZLHKbcxFZfR0Z9qaDmD
zStXILnD2sCtFg2ZWOnEK7dxQESiLgFc68UPQ6mU/9AWJjZwTU3IyccncMbboY70uel0I0Az7ryZ
PL/cwILsVNEzL/sHarlPPVqqMw/uvYu6TJRCPq+tLFMkvQBc8Ovs1yHi24KUpDGuubbM1ilQ6aXC
4vNqSj9cc/v0qfYu9QsyxPiZ4PG692cbUcj0kZYmqOWDbw/usYqQePfYwhcaZrEYEUp+l6mmvssK
lx1B0x66xZGUlR3mJOppO9RKdKgy87y3Zqr6LzU3v4rF3NQQ1rzRV8cTpkb5ZS82KMm4sRbdWO2m
xSTFoDef+sU4leZsIrEC8pwTmiJVrso7TVcNfpLa8I7FXNi3lR8Mz23AbD41wKerjjQCasDRZlvL
7jH9o9e2k9N8IfnJXb6oud6i60bSQ64SrbkbsLYfoBTcnbMowaKE3FqVSiIQ91exmGnkPufVqLd4
QxGTq46yUm1oJOYq60qiBFDueIRbGs2CWxu3YcNRH2y1rWITL4p1kNO6+hwgfY/szcuSm0lLLXO7
KN21bQyUJi/6dzonJWW5NeuJzrGpHQkQOuR9kSrzEiU0wqfgZvdV6tgfNkE4WLJy64fCE8L5FgGH
Bml+D8eO2w0AQ85Fgt6W5JIhe3grQyg7eUKfKssDHI3Y0trdqq1Y9P4+Vij/bICO2DbAAdKFDLCw
9/iHZUHyCZGGNnqFCNx+xEHmXOEC4rSMJ2shDtqFPeD5op7iPGg/7YVMMBoYBdCkj/pKLVwBhnxh
GcyFauBeB+DgR7AOuPzaQ3MFICTNMA3FtAsYgbcX8RMeFmDCucITYihKccHjA1SBHA1gQSnlMjLK
80A/bDLUKT+INgTHiBoTNCNdKA218BqC0p9XEzqXTPor0JG1AVJImVDAfgU+BLYChEs15jcGXF7x
PCwthmW7cCIFdXXNiaQM+JF5QUnoRhqItKAitCVEKyx0EW4117e9w3KObfecwKQ4ljf/4tJZf9As
B7MyDBDImWwG7HSO8axEJM6YLZs1IyRVgwv6wlsOCoYjHyJGL3CMtWAyedqJVzYz5srgecQkDUpT
Zrm6Jetcf0MGUayULNDNuOA31gLipFcmRwuwLNYPNbyOBcDNbicsag8ci4UBiNrC9/h4lCwUBLCf
9EoADX/RQLnGpyTov0OzaEqIIXWlh5xmQbcJcIa2SijqYxxGPaeq0ixa59BcKaTiSiT1QW9u6syj
bdhdkCUnIlMRPbZCmkyoLHvGXF9662hBncor9ZQUNYd7XPDCBIwKM/8GMsf9pBgHDaUDn19nC0Jl
LTDVFHhodG5cjDdDqPyvLLfUq19Y4m32S4Q8WcfGfSWQ4SkDdgWhJg4B1mKiuYyGka4+Monnu35W
Wb6Opq7hekc0kl6TC6dwV8VCfrg43PclHAptYqUArbkiZG3QQXgnwvsmfxghBcUxOxFWtTgemXne
0oao073lI72kC6NWeKZzAIwgcuaKsJVkNx6GiISgdVxz91jbIbHF/Er88oyWILFDXtG4wslcte3/
Qubsgkwf0lgWri69MnZdYSHzYA8eCRaLxvfeX3i86IrmXSk9vxspYBpIk5a4RNoZUz2WXkifjCm5
y2PrWQSCGC+3xS0VXWFAyh4BA6UHI0gyx8ze4ooOknYNFlD0blvfhAtdmF5BQ16e1FNlfxGI7kIj
JguXWJTEGbAQISauFE65Z1ub/5S6sH8hj+AVyLMOIK1ogtq/S674Y+ilr3owybqAovT5Nq+sZGYE
qMiJ2xESB75U3rRXxLKthaYBtZfhM2gDt/kR+YY+OCv9iqahZQ9i29o+c04gxEmTglSKID3yWLDU
EXonQeWd03ClQJN0DL5rr6tfsADCOdDSwYs6s1npoR8SpiSReSVp+QtfmnU1rCmoKNwp+FFA1WzN
rjTBG3GbjgmMasD5yYF9ZVeLK8eala40CaJZ+Nb8L9Y1xia66ZNe3aY0y9GFDX3x7kcpYTwLLMs7
CW62NkFoJbJyd1ZXvHYwAopgDAf0NrKSNN6NVyI3isjXXvNY4lwZr+QuPLGLPbGaiUTrYI7ItTMQ
IA0fBtj1M0UISEOEZ6/M6UwUC3Azt0i6ChSCLvkieZWnWztO5gdbR5naCyajmisTlePa5D2/7Rco
ecDYBnHXYkjUZgq1PGQF6y+wwJbi9CvTLKCbjWowu/N0ZZ4NzVOG3PSFhU5qk2VSE/gL0QjmdNvM
LW7MfAGpE3TVEkBi4asFSr+/JxoA7tocJMuiqeILlsZCZjdd6UW7vLD+9JkhHmu87mweU98H5qpa
TJGQVeRKxDk9D0auSC1oODblym+18SC5aoiLncxQP36fcIFJIZnFAP+641rvJn9ct5w+cgYyj1QR
wA+2uHQ6M7hqms4CQJBcTAeK7+J+F5MddFFJp04gdPJCiCKTdClUep/r/E0ZTrSFuAyyY8pDZEtU
T7uSuu2jTTdG5SeCjvFTJWp6TvOwM+iOXXJiAo7d6ZTzKKR2SOQA5nY4ioMell025OE3w1z9Zaai
eJmhk+kQVEOz5bIW3xgWYhOa5fIdtRGp+46/cC5x7v62DD3s2Fo4u5GFwomVjrtOHa+7b0wI7w3c
nGORgzfMB4cX7mOrB/UYzSPvgDSzkk1sS/tpybdA4JlF+5wJ2xqpDerUbma/InfzEGAPLtBfWcso
+MBd5OKKPQhevilvo95ZsIB4SG9ZNmTwYTOI1Rm5P/QP5CY5yDNxK1DYM9siCSJ+oiiaOsTRmj4p
wN06BjZpZUJ1Cz3nwzeCDKhuqEm90Hj+ebalsf+UcTVZ9VUm1BL3JZ9r2xLPzKJyXpthTG+giRRl
MLZp/eoHZvWHwFBQGKdmD7AWjVn8BjEShGk5aY6oP7Ls111CQR3lBksBvJszUdZ+sb+Kjv9t0uu/
Kq//8/+nwjTiXv6P+uzpk/VN+5l9/quxBKFz+ah/GEs8UqOFGfr/KEX7pzQbQs96jmUSZE3u7D+0
WUv8jbaicFFt+aswrP3TWWJZf/MC2KyQ/+PyL/7/lTa75CP/M5Q9AKoki509s+NTNip4Lf+7MOs3
jClBG3LZbrzDVE53fpT9gVLf9cSgG1H7wGv1j+bRuvoXFfu/0IRFwHfw75+Z5DNEFgvIwsPaZ/2n
wFmiPByaivNu60dh/TsiFHeFPxUj8+CBGh1tcyYvLOE7oKE+MebHsWH2PeZ9zPrIatQf1wsnJq6p
I+ijzIR4Iz62OqU293zEwMkFF5MUgkK7TOLezTWtgh3pHjvHi2xGG6faz36Pukem9o4gFkVW60Qi
JuUZ6FN+fTdAX2+QOL9T6sQ3HcJWGjpIjjA+q0CXJLcWVBUBpvuGbZ7aeDRX7linj85o+RRIj6BX
VmVY97m0MgL3jBr6emR57oj0WYaCzxdNY7MHdC4eyK0mKys9U4bd/MpIAFyN4WwxL7H74mGfJXzw
MCXZuqiIWnR8w31BUxmJdO0sSXBRWJ+9svDWFtuOle0njEnKJtiCpRb21zyVF+SH8BGQFtMH2gE3
1YrJx+4eJiKiNhHQ5Rt7DAeRpHYN0n4ySFanN8TdYDTtn2jkfF+BsdUS1bgN2cwNWP+mwTcYZEPz
Baiy4V+RLvxNpBzMv5VeNv3ulBFsS/9svSqyadgLU8QnGyfRafCM8mxT+Yqa4vm3Y1K4d2YyJ/HW
Zll6r40sWPtuY56TZgQfVmN5P8oBfnqmspXKeh208H0FTV1KReW+crvx3Kei3QESleu0TpGCknY+
lWOvXnSJ62StVYO0Ae9QXWx22BubYC+DCB1s4ftO9GF1L+3FDxy7WUG+30QY+6ZnMmRFqkKsOVXn
HnxMzhS5x/gEitw2ubdEgWy5YE9WS3wAj907/hwZxja872/PCDwTv3dfbnuvDe9jfyBP1+wN6ZEA
hETrkX587Jp+kfvJee73xOkRE9OYtrN3Yx6zm0oq7+JNqA7keE1+hI4O+RaBKRNKVjcpM1+gpmPE
wIoNqfLUL0iI9kOXNi+kTJtvEvH1N5d79c1PJnlssjK8CxDZqIKe8qncMsHGb26Jw3SVdCwg7LQk
k9DH/H1P8ASfZbZjigtoQmzXUx64H4Mi9YIEAH9cR9SzE03fU5yxIQ9p2trJaO/SJp+e7Gr+X+yd
uZLcSrZlf6Xt6bjmDjgmoZWYI3JO5sCkAksmScyAY3QAX98LUdeq65XQ1k9pa+FpJRR5k5EIx/F9
9l7bea4kE9rOsLpfKAhsRAnkg0qepvQZo7PY6KcxkiHLjTp554ZXBHsVtPUd1eq53AVh7L2Na/wd
wIOc9ryqp0+8892rWYMCG5tOn8+GriBKO3zaDSVXFCAGRdYiXcpG/rbwnH9Lel2+jW4WPeHc979X
gENHwiXFip00jniJI9I9G3xyDJ/MbOW32mvYFMwD+6K4icnhRpmXw1Z2BijPaRL0UEXbwkIamHyI
kQn+8n1CdcBRJiPhoyRe5Gbs0aJnf4GmnVAe89yaka06bq3iZgEOITc4ajlFcr+MzYZEjfUw67kr
0ceC/A1IAu5gsCMZBHvw0V8Cw7jYeYTMTwuYNRq3rcyfOQnt1dO1wkC8oWSVis0we7TKInm0ex8I
ZRu6UDeXSpqntA6cN36ltLNpr/Q2XqC9faS89ltM0fNOaWWg0bjlU8H4vl8YjnBaelPz3ek4068S
PKZd5f3gMOc3GuiKKabzJbMWFmQr3OLNAeEbMxdqhJxyYmIRhlB4P/GTUpZ3GWIm5w0/YUjB9lhx
LIwRC6hdbi3jvWHr+laINiODqIqsw3ke2pr9Y2h/cGcbCWwPrqv3QlqV2sEkz+6y0B4eLTfQrwGV
lTRLRqMf7CNTqe+mXPSvJl6wtWA/4EhPRbjyPOyWIUsXeKk3cdDO8VlGFhtx33Hyeyp7RfJYi9gk
e+VRYlaPHhalDsBRiFo6YF+cB8m3q63L1MPcllmfJlopgXMctd2+sit2FFWnMayDJDsop2E+w7FN
T2fkgLXe8uC0466pcwZWPLtlTjKLLrEmqlEnvNnt+L9IF8Ay6YZh3e2U/JFguYTZqLcaftYdT1L7
w4cQdmflrf82ZG15IS+Y3yyZ4CDG1VmcVlgPQctqmEFUSw69OEjNverzAOxbzkm9gAIjvE98DVeR
q3zQWp73bcox6ad4kNm6a4FIi4jQ/pnJkzy1nkMEK6Vqaj/SEHoflEYe+IeiscV1+V5RYX2J86BO
t5TlcTv3ijgnM7nclDbUTssnzOTz1dtj4bA+F1oFCSXRieYLlwACg9TPOHKLexWRrdsPJoJZnTsp
SxFbu744RfHMBS7HVfMJ8NNvNoPX5/Nt7c2FZD06ohQTaOAXjQEg2wbTRNWVlvzbQIPP353F8V44
fvUj/EfvGItp/kBelreYCCYMA6y1P0p0CDzaHYQa7uOrGjGykwG4N8gmxNizgro9S7Q/zOD2aNnW
eB9Nkf0o/M79jU/N2gZRury6fJG+KLKJaIkWXnqY6uJoq3TWFNX3EUm+om9/LekY6y3rJp+mutBy
YWx0nv2Uqmag21UO5wHncXHbjKP/4Q5J8meh3CKhP6vB/MmdhB6Qgfw/NmfQJGB1l0mN3DHiKGAF
rb1P3i7pkydlMnFs6VJOG3toYb7XbNLg26GY+Q/geLhJqHFR05n4j5ttLadVbOkHdzdhqedLMOdY
Zq3sE6tEdF+P9ftYglDhkjLtkkzibSm7OTkwGHBnHnoLp/CcKO+bB0bFYIMnS7EtI8UqNpksvSv5
JKBuzYSDuW2yXLWDL3YVzg1WoABhAO5Gu41Q008NTuhbDPgfjRc1r/nkqJ9gFcLiRGa/jveh3aVw
rSCZkmIa/P5P4FkZjsDBHwfKxtzgWTheHBFecwgTBHkcdbtkGjK+nQ5blo0xTstDM5aD3AuI47DM
B0jvN8Oo1LvBCi+xG1UVgxDkxa0C8nxqC8HOKFhgAG14wcs/LepUzTldoCa11bhsLfwYuNzJF+xA
p4z7BFQ0BIrEl85tDrnqgifG+hmlGAI3qatSzCEtplu2c/0PB4QpZdpDav2IYbt5WyTADPiewykQ
Qho2iKKW/MZlXalTPEIf5UW1mFeTG8HLGKtJd54jxwnB6EX0g+dZNsd3rHKcZ0HSKDgUxjMQf+jq
A4bjVPBQPNv/VUZ2u51UtA3CvNi1jQ63Ti89wk0qeTcT1YWuhTOSbXCCWl126DFibukMILS9utih
CPbS+pplrD+Ei+vRRQFTcNIy9hCA9YKSZgA2sriu2XYsmv8YpIyHIQsAUHlusitJh2wsKHgsDatT
HAIy2sAXVU8ZgJ79qqEf7K4t9n4YKV65Y/Q4Ry6ykD8EyyFoS/BotsQRUDt/ML7RHDqma1a29sNH
8r/tbUaHjcXfWPjPC2DTei/6MPlmzbK8swfD58eX4m1ShuOqcKBeH4mgzO8RKuxL1/bEvFNosvMO
c3knwZnp4U/INPilkhFjIBjABCq1ExGKLLnd/HGCbmy3i5UkL0pT5LypO1vdmQ4PUWpbSbaNbZ5C
1Dv2jDtJQ+if1CJop5em/GYWDhUMqJFe9Q00yU1UxRipo76fbEoQkMR3KHDzRfEgMvTC/uQewJtW
5AlkDFfNTsJrrGqK+5JpHiojdQmC7FOBLCYhkK1msed6XhDPfAc9q/QX/H5N6++NHRjkiYwYoNsM
tCUWlWdd8iIaed/PaWl4iGFq1RG5JciYM5MgL0oQMDF0JjR3uVb+AA5KLDyMDROSpWY+Wl/Vr5LF
0kFD//AAFWlBdhaG+r7vsORvY7cr3mcqN7tLaQ3J79xHCafvMmIqAmXPiChB5aFBGbt+E4NTvJhO
BL/sMq5PZmaRjieL7yg1H1zzwApmnxn1EeLANdZ9QH2fJWviqgg3NuLqDX5KxsMQZZdAcBUEDuBV
2gKwXkgWs4r44BPhq2zEhM9juGnThQF7sLjmdKoVj7ZPV+BNEbQ9LP9WiRcfJxrugOJ3tbBuI5sT
QKdqpR95m7G04Hi6XiwvXmtwY2AfIMbcmzC4pPjsL1Fb8cBFfPPPVM61j51DehdUmYJmqVyueeOk
s2MKaOJsghh2klVnvzy/g7VDwba84ZbsPnlZdSMDFmemqc+lbS9YdPPXZPHKXc/lC43NHKtOgSOr
rZ5UDnK9sb2Hji/AQ2pFAcz3XsNcVoTAfMaP1UmDB8jv8zV4y8UCC/+O9sthM2HrPOROmx6rRlZP
RvXlY4nzZtdLpsYVeNRG/GdmVdzWeFX3cPRZcM8Tw8WUeQ8UyHeHqi5OAy+2bcZ8GXe5eay8VryJ
qkTyU1iTdmXbvYM4IsWQ4tQdvSDYh5psJlmnB2wdACRsd/BOtZrCM/EZxSIdqtnICRWKXRg16Y2U
cMZJrQTLXrRFdZ8ENULd2BoFeSekV4HD+3fQ+ccmEN0fvbp+4hFIeD9W4Qfx/uDiJzbpycaLf7HF
l1ufD2hoi5r/ixqoTtCEiNw9f2NuPS7XdODkEK7ildzpl7LtxQkxGjnPkK54ccrEumEdM2xGCIon
n6zZq/ab/Ec0iAWMtpitP+PgV90PJ+caxACQsmWvIkwyxzbLTcBJCscfH2Aszoi2xS/aP8CSyoTJ
Eow8L7BsWn1kEgitORQj02SeBeFTKBVNozJohsPgmpE7jsCnC6VDwgZygSgqkvq8M3VAiTGrtYCD
KoCdle+YkbqLvh47PT/aR+8pTOkTrCKxA8LHQzGS06LBllW6OrDbraYtVgqVb7W/rkqcSno/et9g
AHRpfd0pGH7zLgA3fQ5HDC+nsoG6xc40YYg2TuH9DmKn2KUoOTed6cz9zMbe3wqRMJgOMvOwLyvW
USpu0idkAayzg+M847MY8cgFgiMR8oMB5rrE85Z9cY1/gZWee0zTiMs5XToj+C94IbcDltFT0UOF
3PQB9pdDbU39F9nHoP9vffT3/017vPRk4Ngwbv5F/duhh/6Pf/zp+8/y9//8j5ffxWcVf1b/ppH+
80/+HWGRfzm27TkhmiTNCmKtBP1bJ/X/sh1CZgH6kZCu9y8ZFhn+xbEGFIcjcq2sCwiW/J1hke5f
gQOAJyT4QjucS2/ffyHDwt/473ql6zrcR9jUKGCbPMX/WSlN8yDtnIwyqU70UF2z9FTykmb6dodD
aJXmdxZww2WVFXLmlfPWJy6CvcZzILcjHYS46sSeDhDBjlEa9wlHan+QS1Sdey6VG4qspns/ir07
B+f6mXxXfejJ3mG/iOoDr5sMhzX3658dX8zuLhNKCoxMqffdc2Xy1oMSvGvqtm7pc+jTiIW0CG7g
5uKqMgZtakIMLU5ZxomWx4Z5cFCYfOCLfHF9aQF5BjdBbsbvHtzFrVtrmys8E8QCMxt/VUvNCfFG
1tG02aqWQo86e61KX+FxbzxDmLiAQglWFQTXtiJX/ACfTQHlU2w4sZiE7t0QBWkFYsN3X6tWjB8h
4Rd46n7an3WYRS/4f7HToqnRcgE9Jbmf4XBBU7EmxKIei9xDXxTjW1uR/gGOlzJX4H7fjJjEJWiY
E6Kw+apFWRJBJBKC47nrHiistSDUVyymuDG6b5Ewzm3vYG9Icl98t+qKawCH+ngGGGaQo+Jq3zox
r4K54AOPvWn9wQuHICo/+0BBrFsH7ake7PqWNSHsMH7N1U9vwJ/SJYK795gKmx+SmqQN5tf6mItM
PkBrQJXMfQx4UZ3FxSawnJ5ZyEuPbA5qbGmyPauEjp6xM5eal/7eHmycaugRz8OUWhuTxaPcTM1S
3ZYWctY2HRbzGSdNdjEUStzxQA0ZaOAAMdNjF76PC/qOMfPtxqlDZkH8IXbceiffKtM3Ds1+R267
uZFUXT3Dpy0JYk9UepM6xhVHcY3VG+chCXOxLwIGGyQmccNvNDrbVtccyiUXP5plWS5AmqEWOhV+
rIwHta2N/xO88nTgYt6d89pOTgz0Lw2hDRO2NRCMIXlEBONlGLb6FXpHdIiHQH2mzMY3qWgVoW6i
QnBwmXsYD4TQHyXXqg1WavIWzfjWhSMspWro6fv0Qzf9RknQCU/fo7bJNybuxaOYyYcSDm8B1/cE
hIYt4HBi062phLbtnKQISNgXvgf+HS4g7znMXW9tsp6yS4FO+r3zRYC1L6vzHVtHB3Wv5JK30ZMD
qTptV4ETN8YJV4d7L/j4YMn2AIjsIEzPZeiwwStrT71V3Gru3ZI4DMUorB3nErtm5Jv0jxjBQrfc
dWjJm6LuJ+QWrsEDgzFDpuQt1qccFDByWnRI15sfE5UmT6rJvR35WBo97CWIHzVrcfrV+zh9noIA
scHMSbl3Qm/80GkGxypV5jKTZrkHppSyWnEwlSYsQ3YY1+RzaDf+icQPN0jm0vElCIl5DKWPoxUj
6c+wSMuXubfr9kSeSP3k+U7/JN7oONj5ZEMMeraTTxkVCsAzl0OgIYnvP2SqqfazKMGnO1npNMDG
s+ZISRi6/QrpOmpqWR6AVTgvI0wyBmPX/sY907ltLUywYAAq7zGhk6Lc2V7DXb2FJnIcxBA/LCaT
TzAwvGNm0v62T3T5lfEI81uNHPuNUaC/LfLO2UdyaU6BQ0OgzIqArEsJRqFo54q7OVe3Gy/S8hQ2
Jr6BI5vdolPngHJcF7W5taR8YSfBxtr3CmvP99e/9/O+fKKYRjwznkGB1tJzkgvBHv+VXJeACUPo
7cssNWvckpuhLzQZnNZttt4QXLJVFGGLD3dhE04jkCCrziloMk23z9MgodKmSE4mrO4FYQOgj5Zr
7bTDtTgJe3maAlky+fdm6/LF3bMETo8kFNONNEv1rUPuADCTkgZKw4cxS+M7hIfgK3fC9I6urPwg
EeMvDZeYm9gr7ZPfu+JnvjT53Ti60zarKPVLSte/YffO79COyVOGTQ4pOxu2nEUVvaoz0mztDmbv
l+VP2RX1vpBWe3JU5b1bSYMBdnjPvEIf+epzI+XmlzR2srOyfPxFGPF31ml/79FyxKZfptuxpkug
cJpLapEqcwdXnblDPNiWwrsUedYTQi+0hCWuzrEVXUTcguGpvUns+8Kav8+6QgOiq6V9siN4fmz6
LL1vlb1bquKFS+50KN0xONSJ/l5gHjgXukewb9OfmTWa4mIr23eImQ35joAhdlRBcduhZ53xLEeV
3U2jpQ+UAvb3rW3f+IH7Y5j0iSUJ6OuOpB+btwFy3iTvg9q+lQq/waZOmOFZDYQJLu6w5obsDxm7
Lm6dmw6+HMKuu16YEpzcUPdVeWyc7IKeNGTbyJ0biOMJ6+CdDMDaAo0z+jS2xWc5F4AsCm/4cArd
UVCTzOkdbRXjsUpkQ+bUsZrnpi/a49KYgCSACpgT8N7i5I7z8mCXbbzDCAiceLCc32Ufj+meV7yb
75XuE4YZKy62mt40cGa64z2Q2l2NadlGzd4uBeN4VXfDg+/15iHNE7JTFYEgn+3oJgyJWQEruKvr
4IF/Fvb42J2zFwderbONwt4glUVmeoui5FfI4/4BBH3H2HOHf2045F2TsdCJmufUw9Nb927pUGpJ
y0LlkB8RWWw/ZWO6fFhxwxbNL6ZL5rShwcC70CVq+nnrhK25o+rH/dnZefQDq3mzIf457YPQ8TZl
afmH1tHta+2PCE1egdHdZ3nVEufVWRS/4bzSxxLu4R+H8N53TKL6YPu0C26CgpUYd4e4PZkqdDWe
pBbjnSbzz3VdVY+8A8xxKPLxPnCR6W0GsrcUitUF6XS6NHYQ7+AbirMuXTaV2ndvl7GCgArTJjjj
rLu2yixfduOKUxD33c4B/nToSjYpu1KCwU/cIz0FrzQVLuRJ0p3vGux/TruzO3fnC/S+gCwq5K9y
QDhvfzvKMM/VPIrQFeB2YEviIN6VvSl3UD120EGeLKdhtVFjmc717J4AHdefLucZcgcjhduVQAuC
Shx0n9a8YfACZZBPnjxkyNs4wp5TasxNlYHlxKbZPuii0jvSLFs3dez7eBxubHv+I2WHfXPkNUW0
jmn/11B0e7W46Mo2o9Z9SKvNoYpNc4MFPTlaCwaqzvBW4Xo7vvRR27/OCkDDlE70ksnpXqyaGAm4
Dt+UlwFgohCxMyRcaJvAiql0eHA4ypItDHeg6uN4y4Vw+dkGC+vuTGQHlcQVtvXceefz5q6uwLZz
f9Wpj0idq70bC+tUpSq5+JHvP2kIgZBxka4AZuQPNlnLe9x90ZMA4HdbAt+5HRPanzaJzt1HvqFs
x7VO2lvuIeVTFdvub3xP8VYBpH9wJlveuwOuQ1QF93eYROGdB8+fCsiEHErbNDeu8FCB2GSmH5Ys
+zuOzeLcLLnZdY3/xQIjPPkV+6RYZcN9r2AwK9X3+4p0brVhY0fT6+xk+k7PDdCyFjX0XJdxBwva
1TOnB2CueJmqQ8HV6USoyjtbrj8/42Prll3eDhccYNGusig7c6Z8fsOLWj1MZfId73r0KCKds/0L
mpPj6xQ90jkiC+X7GQrkwU89uSeiGO9m8NL3rZ/xptPkMDRz074SHM5D6KXI/rn7LrjK8DEH1A0M
HHjMjwC/q9TFgFzk+JwrHuC2UyD1AJJslngYiAukcfIU2zAzysGDR6OX6Suai3zrQQnYRIHNf5kw
AUE+3uOT71NQ5RMY6Mf4PVh9gHbpCaRc0sptfKZH40gznSaQUlCBUY+PvFExbpBEpeLCpRKA0PRO
CBoAuWb1FAubrzQ1A/g9XV6y1sw81iMZd1fKiz8BybG7HJmkBMtmwAWHgvWsbooMTN0vw77sV0yx
wDlDTAoYYcnqmaL9mmFd3hQsGDtCZQV1ogaGT1QasUe7qg9gFfn4lFEP7Dfn45Lk7SPkIbqIvVr/
FDwwNKfJETBIb5CYM3/D1YdxggDiqceqfleGAmhinM4Q2tOOeSErPnMZLvxTNFifakm+uIzZ5xFG
1g7YikKs6ptXy1rMcz4uIKuaypEf7J6tH6UfEmlIhT4hiRM7SMOCfQGdHFx6+kA+tlBWScOwIA9I
vcIYC/NDoGe8J6GpPXzfoKS3uuP35YKy+w7A1fBkAciprQqOSDTc4Qok/MQrpV6p7QNty+An/4QM
/GMf3kI44O/X/XYaq2VH9cWW8VRcWGKKfemXvxsznfADvARDwF8jx/QRkifh4qKaTzQMUf2s2uY8
OnV/xphI8ELUhGNGUD8hqu2b5drhbT3X0ZfFzERd21AN27F1wyO/HrUPS6qjnKXQt16vyg8/iAZm
I9c914KRdnAsi7fgPFl7WdipOJEeQ/+spEVYvao44pu0DI8k1UFTGiqMGfXr4BC1WfAlKI5TpADY
gtIO6v9gdej5G4t42ZtmRNprzMj3vVmK7yCoyVUmUUrWxZk+vYoSZZjhFc6iYQbtqqrlKYZheMnd
ZXqyOjS1jWtyVjUhJQ9R7i/nBaXiOYRO+RlT4nBEn9bfNe83jvjOOfuzKvdebtq7ACoRoLQec8DQ
S0EFVFM/kQpju4z7v/0tlnh8sSj09Td4Vro7z4UISlgCyjxMz+Cj6Jzm6Hf2nxSXyQXCFlwmUDTO
Y4BFe2sg6hFqh2Heim5Idtpyh7vJX+xLG9n2wZrn8vvg5kyuMEAeycV4yOdFfR+1o3tftCwySbot
865OKgOQHw35MUesfWC4zvSGbfRMBNTmqGl4iT4TrGxDGhDd4qy9MjgCF26/ZZoZlvR0Xp5KO1S7
kFvMrR1LagUKqhg8YdWbegXAEdWJgXzR7Rq1EcCncBmzs6k8e+N2Zrmwm1vz14v5znZkfAmZQp8G
2/A2WTLnrbSn9BKOWL5JjfEuisxyT0ZKgy/SIr5tVSbvqg6sRyJX0sTKBBB6hHZA6w9RW/re3c8R
n6jehLkjPktP5vRLEpV5Vzjq0VqyENHe75Vo9iTWhhtr6SgPI00A9Zn2qcPs5/qO97j+SKZIv41+
g4CtFReDoO82c2DXD8COA5IauX8JWnfawGJ3KfKzy3u3mRmxsr6jFMfP0vG79Htv54oMqrma7GPb
ycXH3pR7HwsGCoYG8p5kEoobK3eZOtPMJ0owqGZPuVsGBMqL+dUGn9qggCSZdVwQrQ5i5g7Ov0Nu
Ed43o+1svSjgdM2pGaDCeNUeZMlvSbLV2LVWUb46hWgudd4NRKaW3vtpgUcBu5gxLpHEgNjqW03Z
o1npSFC9jb+EoPehAwfwLY2y4o7GVH5Ymw5sd1KsC//f+mP/P0QTMUbYqKn/JzRR8tl+dknf/idh
9+8/97eoK/6iAy8UwgvdQIh/5RLZfyFMYnyVboD3FG/JP82vtv2XYM3FssexnRCHJ0rw/xZ1qa9G
1fWuWrEM1H9F1JXC/XeuurcC3VnGO06Ap035/wYmssnzTb1tUYbca3s8eeBBINV1Xo/3n+rFNazF
ctAPHVr2Vo5CcN0oyuty0fItxmU/Y+KmP6f+Xs4qDO9HlkZMZVVnfzkNXCS2yZyxk2K12V7XnMV1
5RlZWaGf3DZN3y3lpvE3MStTP1FQSSNmincRg5CqGOnbyotsqkoMpPUs0QyOPUFkPDYjC/ZNWNqs
av/hFiA3hmuydqv4ke5E+UdmtaKDy7PxZ+VDeG7WZbCdU2nGAAF2cEdNh+Jqk8omf4AAb27FdcPs
rstmgOPmAtfEDXatW4/RfXTdT5NbEfkztozvhBRmeSQqzXK78Tl3tyYiMD2lCULTMnHK3Sq4Y3yb
rxtzG+NTu2PdSOcr1dwsywOr9A7tdeE+2y3pILiVKSVJDg2WMUbCV69BE7KEM+Pd74KxOFlBbPJL
O2kik0xP3HBW2pTezF1IiHVaLQR2L3O2QkIBvcFNtetX14FZ/QfksetbcKTJ07Q6FzosDG7bY2bo
YJoNO5Jn7p4cStcTn/Q48VWRvvO3YQ4e4/YxgpJQn91CY6hAZMBcwZpaPeczjqG7lUsUYT0cVLjB
WYoto5oXazowAeHZAKJJ0E71UGkusY9Ph7vroqwTU0b2zh3FDMdBx9F4h59sDrlKrWaSwNjuYzVN
0tCJG3XVbSBIVjOoFahoFKzKE4ZSbCodruDwLAAq6RtkH/wlgedwRiLsVyd7Cvp+J53arvcxt7l+
11+9MZ1DH/xhzvOxOIu57uZ9Uoa2JPyrecOpWE8vXZJYrAsmPDh6deNQxIEPKm7bX3UXyenCU4c9
W1x9PWOLXWHnyjrcJK0YzjHt1bDuF39pt8LCcIMlEJoDuwfnpw7lMJ0SOQC8SMiGY4kLcfzCdIjr
i2N6rjKpbvPbHvrNU5v6jzBLvNeuA3W17aPGOseDTC6BMT7pallq0rCZfMZJ0P1YGKluQjc/jbVN
uoRJPrC/rcMDeHCkevslbWNMXlLkGKAGoedvjIrLrzKBBTu6CK3bgu4O+dDSXYyBrM5ts7erRY+n
RcTlXUiwrT9NRKybncjG8oMUcPMQZr5odm2ouTJEgMcpi3Qd9dLMCexOweWD4I4VOP0+zysX7nCV
uDsdz4R68HnG8mZwOBM2XVyqu1ZLSJqE1meU76xMfwDdtac94xlPu6TbeSs1U9auhju2UYGI3qyl
iI6LP7KUmWjJLLQ1IHImlGnyqn6HokTbLmkR+m2btvyA6sT3Rodd/4BRmDoBVdY3lSjGlw6oKPLo
THQ4LcLpkirlPGIfZZgFs5qdhrEGT57KotxkYrTLE9q3euUF3d10s4l/uLmdhPul7wugolPq4x1x
sO1QjoxkgPUq+TlpqwGFlgS4VemjXqsQiuYFrLxzZvmrgCkW1cqbBsW0URG66y/tJu3FaRfAxRiP
ljeM7tUXhaBjeBgLZ4qPdJ4HuMswkOBnMAQFx9jcJ01NtZCy8ZmNcV2Yb9qkyBPw2ViAJ2yGO2yx
ZYNHw470ZfR0MRyn2ZGkGhck213uEEPbUsmK+dYVTfc+Um/5wEK5ppoIn5aMI796DTJaz3Zm4ovC
iIYTAT3XXUUZ3mlfpTU7ICMX5+i2hsczeV9SS/zsB6Z6Jq8Mq1reHsIhIavVYWHjCC8d/DSgNrYq
TpsTtnduBRCbQ479PO4vzTyHkD6o8FNbqWjgGFUTPZezhX15Jg+4IQTvMxbR32f2hcqyJzFQBb3B
TcjmO/BdZd3QAJB9emNUj6c4FUN+p5xo2QYxR842k06511xgYHsO7fAYpXn8gsukKnZjPMke2HIa
1jvpwubYhG7FXoorl3kNZwZWzivJurHjk0/XIdN7KqbGsrd4y8uGLVWlNbVu6wredhP9nDastbac
DRg98TR4K76LCeKcBoQB+ChSD9FA5eFW+ul0k7MFOfEwLxZOZ0IhNB1p1GPmg+5kW/RvHPrGDcGy
ZwDZp7B5r4a2frLGPoVU2aTLF3GrosXq4rKMmIgpw96F8MM9dcgWePIqz0+dS7INbCoSLNCsxVab
IFg/BGoauK7nZfbY5dSD0J3sOJ9Eu1afaVWBr8UJdkcvi4Ftl0+sD1SO7TAcoCluSHyX95NXp88O
GdY3M+NJyec4dA4si5ZnGm7hX8cBzv+7PFzml3ERQbszGfatTZxjyTtN7A1++0bNJygE8j4yCQa4
2jK4sWuEoWZTmXiBRo3rGQVoSqIHKrqBf6gh0+HjHHhYQCzjJ3e4O8MPb+XFZbZ1g+acUhsMTG5Y
qXIyWwFz0cqaczjkdjDn4c9R2bRaI39mmrUp/YqQu6/AOrh7wOtiNk/v/Uq0wwRMF+1KucPFDfCO
bEp+FhM4V86Y1doCHg8M7bCCkzNkmpaOhHEirkgZnX+RjS/s47jC9soVu1fg3GevEsPia1Ys31qa
DnWnSewt9xcsqX60XKxmidqNiDELqSvhL1lhf96K/fPqZDlNpRiIhMC9QpszxHUKfuhjFtMUsCGO
1B/7JDY31pUrKFCi95W/0gbZ5vv3YwOCEG9b/EsZL/lIuvnFupIK7Su10B/ZSqYTKMMyWamGHpUR
mL84i7A8OYs9nlXFvQRsElQuWRW2dRmhJMoVl2iv4ERlLyUX91S+FHiqf7gSEv29kzXjHxihcBdj
P4fB6PUJxvUkM7AZXZseHBAyusT6vtIba5VPP2MaIH4ZVaXjW43hnft8LetfjeuI9slcWZA2Kyvu
31dGZBpKPsY4RqvfqBUj6QBMoCP6SpeMrqRJi3EOH+qVQFnRff2tuXIpofHiULzSKutpJVeiVT6P
naab3G0byJZOaOan2XfweTtLcofunp4ga0HCTKa2P5JwB6JzJWX6KoGauYZ2obgEXv+I5SA5A5gO
LlVmpaco5MInlEqIQ7A12GNvHvAEo1bBwox5lzOD/GoVAE+38pP94BsbvQhzGwdv8GZZFdxPYgEB
vFAqGqrP+coG5aANX+Y0U7+GsQG+Hqu2eqCdpXkbJjzK2ZUy6uRzcdvZtV9siyaW7zbGijePWe2+
6934GBZjzC7nGql0r/FKsSYtp1nTfeDkWn3xgqQTwPcIZZInct77qPu02yZCghsLopuxnes/+DCb
d3mNdsI/IObpRnQnba10rqDrDvGLuUZCAy9IgJsI95v5R2ZUr/lRICrgo6+hUlQoWvPWpKkkcjox
k39Kqkm2w5x8y9ZcqoXCTsr5GldtrtFVcY2x5tdIa1lUQ3afXqOu4TX2aqk1AmvrNQ7L/ypxLfAu
SbZCrpHZlL05ymrjTDfDmqntrvHadE3aQuMmdGsDwt4kQEef2xncM8/+clpG7LkU1PKa31XLMDym
Qaq2lOLoG4FCdLAtpgJam3+ra/SXgh/oEm2Q4aDIMJa/l41OUK9sTa9LydaFicER8k47zfCozIRR
FrkHqmW6xyUyXUQZ1nsg5d127P4XdWfS3Layben/UuPCDXSJZlATkiBIUSRFyuo8QUiWhR5ItAng
17+P51W88vU9zzdqUhE1OeHjRiRBIDP33mt9a/yeDyolm5YWT8So0aUFRPdNnJrJ769Ki5Ywhh/z
KvHj7sEwkNlrOVVe71LN15wNtJg0DXQngY5qj5r2lvSoQe+AVeAzG6zSfWKATjuZ7FLDWpftiDmn
8FwQB2y0p5g5BHNAt8sJ4vJ9+g5M9ottjQefr1Asb1aaqO8m78Ih/zbRjbXH9ZYb2wK+ZFst8YVm
jEw/NXL7nCaYkzjgssJmCzl5YJiSu8iqp59l1MxbZ3aLPcEDS7rDuGYfKRq86A5okfmR1dLaFAbl
zIZDxuKuk8XHmLTkQAiBEeCHMSvbNpnzRaT5NCjmaG6R5eDmVp4FPMwGAajkt3/w+Dr3XV5g6UlI
ukk5dlREDAIMYuaTFFulN0xRkWaXZ1PnMBREREwbdx0TDmdLRawzl021jKqK8sZZU+RCewer+l30
bGDrpR+oX9E52jdvTUG3NHJ8Z35qI4jZO42QCUgYXZV8jk0r9mMyGG/lVN2S90S7yyXL/GIyh1gJ
JK1hm/ewCSs8q6XwYmhugHCq9Yz6v8Zw4HTfba2JzrELIdEx2oQ2JAkBoOGZ/mzpDjmXpe3r7q6p
Sb3fdH7kMP+JKyfAyoSFdFAx4tYR8qS5Br83nT0JiX0d96n/mfqW9wj54Cm5gXTp5jnI8clK59Zd
SNvASgKmQPfuZrhH6I6bai/BMTy4I6AFCdSnDdibiyKY06G7tpFCv9wO7g3UlXY/sh7Ew9Y3/b5l
bF/d2JlJ/yn7ZTxjNYWqU5q6Sze4juNbvAaUfLtXxJTxPXyhLAY2nLDBcxp17rH5OQjsgZqXSaSO
0PcOMeKZflUg9poB34273HZ+dGAzHnInZqhgVtg0E6okpC5hlxWceEfHegGI/MnthrekREk6OOln
MZK30UUW+fCpx/XOOCFjgj3ZpSbvShqEqE1q+YCMiA20b+PvnClKmoTp7Dza+btuChEwTryxVipr
QzZbFRh2LfY5HcxHev962HpI7Fk4N3XdWeTKQFgf8ODtIuRCe0vmu6ViEMT0IM82cpLVNitb67E1
jBm6n6d/AD2tDkhC1TuSUCSqUY5C3e9nfdoVee3EAYuk+rEwYGImkRsNdjLhEbXbcOhqMNwX61Fp
zbvICRcPFqcR9/NgIQObONPnyMfCLJNqB02Ycn+U+YPyrPnkCICqtOKL+V7hBvbR2/bLzznrIIHl
nCCZjZbeN6D0zv1sSuKjOvRMyVSgAZYMlUxO8j8LbWrDtofbxGby2vj4fVcLQoxj57CI9k5WZ8yE
hYjCsvbjHW7JsCm8PKz6hKYuMl/kwY7snzjuIkUp5k6up79qDiwZm6YT+ZdnJT6GAciYGAuWNwME
8rWqcVWvYFR06wbcM7wIfTDWqWC5pHMTirrYKzOWIYMK5zzkNuNgpPAagUB1xWFHKyFVDeiOY7cX
cG2pTwfXbl5Vq8NxnvHS6MIV18K3+13D7PBS6GjyJz0pPRBd+WtTWPorwB6JBIW8PFTKRgDwgnGz
wCVQdGojK+DPnGjEQ9LcoHtumt6BIlk11jzsrMk9octXa8i99mEWpsFByl9QklsNRr0eoD+OESx2
sRaMbMZbx9fTNZbU8p6FKgt4ZLwXyCUormOGbagRUCcgpSewgly+MNXH6ZvjTN0WESQ65cYfxBnJ
pod/LHPmoyo0MtuGdmaSUBVbxFnN3bLE0jxMRib7gG4arp2ke9MyT/8mnAbBD7q+7mkhV2htxgyp
mynTQ/BvOt/qou+kw/ffVnEfuODJ4rtmUkWgq0RtRiGEDO0ldz+mqnjHp5aup5qMZadfyp8oN6OQ
9aG+MqkAsJJG2gnRDS7bCGTxbWqMxqrCC57IOiSTa0Q7PcGWLNyTFFFp4G4fNRRLIERYnJVIDxie
q72rt95PvbceyHFV6w6JOAeyaH5w7NkJJg1ZBgIhbXVrnGT4q8Jkyvq9M5HusJrrxXl2zFK8iRzU
RYcTfYyH9OAycwpn6g1sBBxscdiJ+WNJC+sJpaD+pdqBCdTiiwcIqSHjkaU/SQ0B/DEZZcKZWkNk
uBQ/GmGYXQCHZtpx9J6/ElLHH/JOmDssdU2AZqqfL3pOeMwwQzjweiNiPoVYIZhA2Jn7SGeIgI0q
RarPMGW46FbJkFkQ/5MU/48nBv+/EjVcX6erTxv+vx8shEPGYKH/lajxX//qfzM17H/Qqv9FKs7P
+0+tuOP9A8C0bummwQjBtOz/w9Qw7X+4Bg+577gm+kR05P81VjD1fxiGSz6KYZumYTCO+L8ZK/xO
toD04Xq+Dr6D2CrXcH/LavXNdHQ6/EFBD+CHvPNlnl8S05lOv1yUv0Fo3EYTv6I7dN9zEKqZjk9U
A5/rt5fpHN1Bjs4hxWEs+H2k3bn1QNkjQe5zSAKlHP/T5MCd9N/kOHh/84rOTYhPnIRvGTexvfzx
Dsoy7v7X/zD+p4/q1xvyyAlcY/IxnJfIFkkCS5hAVJSBG6Jp00eP2NhdH3lXTGW+xvJYLt8rWmyh
Dl/truNwTelPjrO5DLAq50Idy3hZ7o2JmeWfL5Dxu2T/doX4ym1WQV93dff2Rf3yfjOwALOaKhed
UF2ixwDOhmmd/+ZYwjZkqHg0slxsWhxbPttaXz4RC6tnhC0SUWLN/GcY8ic4tT1R3Uv99ee3Z/7r
fcLbs1CWGWgUuSe5H399e67f0HKkaR0MhrSP6WLkE5tsbW3cTiUH2jlMUtEC1wcSjqZA18iI72M6
wrxnb5dMtvtiYjY9z1OCC0ru9US7kIgkMJmRdc4eQDvmjX6mF46R3T4UTAE+BmAkxLM18vrnz2L/
zpG5XWoPTo1nWhYSQ+t26/xyqT2WTB2fjggk7Lb7WbScYvAox5tJom9VbTrQpMalEWh1pz6RECCE
LsB3ALIse0G7y9cuwzT1bw5DIxSwBjr3XBOvk5Fvu04c3TY1NzRrAEwVWnzG0Tvu+zpJgjbO3qSA
6JxG4pXzrHXqNYC1kGy8OR13cnbKfd4WzomtrrkHubxQACVQv1ZmakTbBLHxKnMJ0GASaGNjUBaN
eD359OB/LczFqVrZo8mnR8pMqYtx5dCWOqNq2ml+v6mXKXv987X868H97cF2dUvYFnNJA/7Vb48Z
h2OQcN0sAuiK5bnW8wrbldLvPSgTrmV8kYA+nYc5hf9S4kAsdwjL1JfTFO2HLZv+2JAAR358Ax+C
fmGxYVNTMHIq11hrkSUf6qTuduPYxdMBwMX86Q/KeBxkVB/8YtJeAbrH93JxYqCuuDhXAHGme8IJ
s20/OPq/uXFYWf9lFePJvG0Jno3J568//+XGkR7SB8h/ToDgYDzFpTlQ8SIE3ktibB602fG3jUF/
Hhwn+euNFx8sKWAC4PqRO2OxvSdBu/xnq2L9x5+/h79ZXz2CcTyTb8DBWXRbXX55Z0WMn7sQSgTK
M8UaT8JXMs57WArTBifC3Z9f7G8ug2f75m1UbpHc9VeAzi8vVrM/KOiPIuA84r7qSJJuT3F2/vOr
/M2C+E+v8ttTipMjdToLahyMhfSnXjMRRfF0A1X21bz982v9zYrg+Qwpbjuqh1/qt8vHLZlJidyS
uYRlHiytXD6pnChEW0u/mtMNyF/VKKUhhejEvJLat/nzG/ibS+oTWeajzxbC5pf//P3RLBcEU1Nb
Fr07PhuqsaFCLO6/2YXN24/59WkVHv4PXQiPJdzUsYf988uYLLk3s5AD4qe9ys6M1+CSQ5Qzl6kE
z56eKWrX1qQ+J2jrhIxqZ/C30Yr9xNtkFgnKxG2Rr5vY9cXppApvPKGVmK6dKTmLzokeyBSxtT4k
hCbQwKHturQbvAM/M1rlf75kv98fwMAQL7NX2oZ/s+Bh6/v1ll+oJJrBwR3esO2soyH1QJOgsFmc
Wvs3386/XDZfZ2+2b5Y65B/Qz/75pZIlMgnx1fzALRw8IHOugXlYsCi0FE1WFw07LrX/b16Uo+Dv
TzXNU9YbjkusrIx9fv+6FPWfWRoqCsZCfcNKRu8QGkzoR5N6tZoaOI4xdVf45fs2Vm8uQQJbV83m
O2p0CiI9oYJFHe96LqZ456GTpKaxuDUh7PKQ2TyC1Sh9i8zurR4NakUcbJ5H17uDusDMk3rRVdNe
5CPIWLfTH3xHESRVMvqCiR+jWaBySvVZ39LcE0eidCYM9/q9NLVi606K+Vtkavh3y8vQJP6qAlHE
A3RF8YV8gp3O9h5vkrDz4rwzKfysAHOdK2LlNqS9xK9drQ1njazPrSKdbwPKgRZSgz+qJQcjpE1E
mGCJfPUN+YJx8wBXZC5M3fhpkr0KkcqmGQZH136bUtPb+nr5TcoRDWhItMYqzWIDM6GgoxXRpSYe
hTgRQdePGD/RbgVRAQyRfWZbBcAek3EQ2TpZ/mBMDlHAZkbgk5HZ7LntYP7srNw7lqXbbVMjNuAy
5igsfGOMgkXB/dpE7FLf8454dHqEyMEzRB+F8yhkikO9ubm0iATDl7Q0aG1bK7EvEJeaNdOeYLL0
wK+nHTrCJTQLaxc534aR4pQRcT+b/tesYHcg+m3G4WfG6fI5Net8CyiiDHxvfCmT5q4rqf+7oUe0
YTbGc5Nl1mXMWyiPs6zRZ86F1iEa9Fe+1VxKH9wEHjfCbbBS9rJtoSnHSEdzb3LABffjuYWREBpL
IR760Ss/cZl05wFQCBLRJP7yUMKG8RJ1O73x5KUrPOO1amTxolIrhMxT99s0m7yHui7lRcvpmqym
WE/EujSRWXfZOD8V8dJfwDgMTxLZ3ZpRF9OtJJKhrLX8BMs93qHZ0a45B63TkNFwyHRT3xiY1Hll
R56iRRuCXGHBGWzPeNciHIvIW8TJbCWTbL693ZKV/QV4wEc7uvNHdvuEShda2EbjA2KZcKm/IaCn
7V3OZ0Z8xwjfXIg8X+1rI69/RJFBfDV2K9o4Q8oB3AMC1uQGvOti2fR9g2XxFqdUY2W9uI1KTnlT
LxuEHMa6JmXjC4M/WNfRnu8YG5TnSng/aQ+9VTrxNohFaok2HkLZi9u59c6OFYyQmdlYYjHQGbpk
IWwOeufQxi+t7F6kz9QS54XRfhS10T/HXu7sStLTQt+aa9K1KzCCperuW5DVKEDwVmatLLYtKqVA
WLwpMvGqZ2ZO2jHlXW2kEfGX8+rKCjvR+GrU3ugth3lDRZiIq+6jbvxpifhQMG4DW+0TBIWAHodW
mvAXtDh5HEkrDoge0CAzeN45YhhHCrpGA3qYPzpP1NeiVc4ZQjaxwwi9mS2kRK+U4mGRunUZkpLv
xBxqLLmdIvMUyywPFTagxFdqPaC1mEwyHNyMcX1uIaqMZwAmAmTgU4+Zld+Ty0HXYfGKuunWdGpJ
ubU7vEtOw2zTSLJ3yLcDCcxCnYBpFBcx1+rYC60MNNn2SDCyUNjpW5OU3RbVSbVhQA8JVm83yLPB
DjDcOdV5xVxBmxDQqWxYKY+ggca/cVnyuHmgveiTRENp52yt0n6G242GzYIxGCRw6Aw3J3VJH65x
NB+Yn6wH5FhLnn2LUODwiWV+sfSJwfCcmp/6MhVXOWac9D00WWHWma63apcq20zwn1vTsTeVZK5M
lMyjEWFnIYpwNZDrB055CBEHDYHfmh/V2BwSAsUKO//ARkKsWzXaoUJNFbaa/ljn+AmSaTxWBIjf
qwE/5EpgFXilS2dsZKMqvEuUZ1AbotLdzvi7qK6X9tAz3cbBYAUTeuTTgApu3ZvKWCeKgTPJnfTl
tIZ8jiH1KzguNJBpZpKwV6vojmNHHdZZlh8A744PmsFcjNzo6j6pa3knnK6+2k5zSXI8j3VBQnFq
t/X70up5aERu+nxjijOItVMEzK31yrvGejjk4lSNaRHC+13CxJHJuw+O7g64xrByaYpeW3NG01FK
fzemAzCuPqMcLGbmNuDC9vSqQXvNcIrzNtePhZIDEg4Wb0IQL63xlSf0EVaONnffvJ50uQ7wxYNJ
C/3qABk7SFxXdPTd7KDb1hzYRR+9VOi+XjFiMccyC+NKdEATVrTW93liZqHdEisF7ALym41veWw8
91XGOnCNxK/xk8Vst8n8ANYONXFuxQ90dnqaq0N9r0ibOfRjJ+4jaxBBEo36N1NP0gtiMmvfdsq7
J4F1CHQ/i49j6fErnMmnxs0+Zdlk3xJRokRmwAU9sQmagYSHUiTbipRqmIbtbXXxEwLBVrgT0We7
zrzvbEBpWnsnh7PQ06DsnOqsCqhXKI28Hv2XEwXa4OFJaJz62i+pYBTTlK+uCYmP7KznObIFAnmd
7a/BIyjUyAS0B7sW6jYxtZrtlLexhsMaZrdb29WYt+i0+V0S0B41CFCQR5fCH7cu+qt9g+EHqbZt
Iw5o6s1il9z4Ud9C9ZpIg9vjSV/2lae/eKgbHzz+/QqilnapfATXS9p8Oh2qQprGFifgoq0eq3Y4
oY/cuZ39VXk3cNwSP4jcdzbTPOYb3O4ZXg2uc+ymYk03HzaOax+7GNJ8zDzBQ/HT4pSRNAgIS4KF
558Bmw7nvmcCR4npQBEqUmPr25WDRL4b25NNEPOz27rGtSx7/Wj2SPdx+E/HaZq6z06kCHPHBnqT
qngzmm6DdZt0/4eXJtVdnsJDNBP+nRF52gYIfmsgUJT6NhKZNa7+ipgiUc69L2F5gUC1agACvltd
ZeVWe+z5I+F9iHlWgJbkIU68MewY0ELYM1LjSYs4k2RJ7qPqE+zXI+0fBmgOAVg2nE22yqGJwEoZ
A19+QXBdp8o4nBtSvDhnNg5OnQRQA4JRclOEP70ioy3iTdtBm1tJ/BdRkAF4dFZNnfmnPMnHrZlr
amNRDE0sNpp4ixu2IFdGxZtjDm7oCw10V66YmypV+rA4G8mb1x2IPz7mhmBEydetiEdfzlNOg3LT
t508yzmBSTFmVxRUH7abvQylPWyTZMbcQSrPbhiW12ExeaAXVGFAeNrdYC31zYmK1/K23eim63K6
bZfm1iKaNhXSyQ1I0OGeKa+xTaIh2bpWFoGNcokrb8toYiisthHiOVj1/pbdFUe0dSNhdnOVHTTG
rM/VtByG6HOx3SuK2m/MEd8JQdl780202L0mJmS1MtbKSzPq3q7TK8Ig9NK9L0Yv7zdFnZabWjfA
nBOh6p9KXbb4MInSKguNiZhbkJGSeaI6+qLtH7UuB0MKahMtmDSHU06gi73qwB+/Twrh9Jq3MDw0
kYgvqCwfo6m0UPRU1dtE1ly9ahVJDLSW1E+sk/0jNuYmxDCkBUjo3F2lzfGNzJbPn1ACRpqvDC9i
+zaoriwZ8iSTUA9J5ML4W+1G3YhvAWTGqkVqGzg1SZbr2L+zqlxenJyGy8rwCcUeu1TuXcTCz3qL
Lo5aZbSaVRqDn3LqhZpVT/t5NURO+sW/qYKiBa65aWaNjBWOMWQrLksHNkx5WcD5v0NljfYKLeac
B63pl/cw5TSxSkm02pJdxKDU15l3pXZtYVc3NUiSvveoTS4Fg0vTEJTVXL9RsOsHWhQ1g1/T5+Ee
/FAjuRtp6HIxMoXNrKw+e5qO28nq9XeeYTOYLRXtchBxD9qoD8HkkmSJTKSt93iwtaOeWBGCZSQf
xwJX5xn8bhWIBBBpbQBDvtFJNqllG4cy9p6KUUfh3NUfyxATYpc0ySN6kPpxEZa2HoDfAyZiOe1K
37n4Pvny2Iz865Cb5tF09WjFj4x/3JbC73DLksdBlQ1cOCM3Dm2Gy01mmv/kLn3/zc3Rj26GPv3B
wlKcklFNT0pHs7RJmdttDfQ239UMuQ98Ur5LSJu8x80Zn4wlbgAhTPVdnWEwlPHQQ8VmqF5rZvyS
yiE6w8mqeIDovSjgLQfI0d0Lmj9rAQ3jF2jiFimDBp/RXyIHJmQuVCy6DOmZzuD4nNt0BidtLu9q
f+x8supVd2Fi59JOWdp5V3FeO2AtdX4SK2TiXcqq9GJxq15IdZmrBPWhae6FS32cFFSTO0aH1Uzc
pCq2TeZVO1xc2UvXle1bk9k6/iWdwcGqbhawZBzOs6fBEP7G9GaGvwT4EmBRlhQ2Xlzq902C3kZz
dIQCqBd2OJBRO1qGpAxM2ge2yQzf91Lg8S9v6aSzNz9roB2ftFQrmOx5YtPIBTZYU/Wn3J0ubuS5
3PxjPuwkH0FbSRC3X/wvgH8i5Tla5rOHrBmOLLOOKfYEUqcYT3abcQqJzNxeN4RTPhm9QcNUxxy4
4o+bH4WMpmBcRvNswNCkvOfAg59NG99FEmVvldDIr4gM0Y/rurIVctEk6cOisTjsastMRkttw19s
4/nKB6WFLtsJFgyRQ6R39XM4uU65yy08Es9lFHVfI4FLlNZ0DisgB8jV1hQGQh38GYv9aokMhCXF
DFeHXBRom2ddYOI8GLNTqGAiC4uE43InF8+6Fovlo4pKm3lVjnUPBtoh6Z6nXUgvoM5U575RDUvB
sgzon/LUT7ZlBbC6r1EXClQXMpi7djbvae/hyMJYw6DKq7MFRQQy/glpxTG3/O4phc68xkbirFTj
Uqdp3vS1SB+tJLX3LY26Lj+EIXH4wu4Va8yGLP+6Gq17/J/LC2Km7gstuHPUF7Iq+OjN2xCpDrwZ
0pE7tkKWAb4bGybJUHrtCX3QfOpqSDmIXBcydsSo39MNi1nPR2DMm9Eq0huXV55T4plOtS4yuMcd
5aKrGu8jy9qc7joL90tjgNAMPEsdEOoQ+quUViGtVA72kgbFdCHt6JWREs/VWNyEZWn9WI3EKoE8
ifMtvoCPAmuGpTpy9Xqb4Qn9zBBjzV2eq5GLTQtsVS1afEWkWnybhqnfWrqMDzLxjHPO3JvGRzu0
kOXHqtvOGOP2c9mYgUQb3Qcl5JYXK3OYw7N9PccQUfEhe1jo+SRGd9cuWf6ONcIIlKr7HY9qfGi8
wXiQXaZBJM97Qo0nkxQhOM5Y2dfTNMNUFdBN1/Y0LsfMMCgMqIY/TNF4e7qr8cEcp5+dMf5sO+1J
pwRYoc029pYB8tKrLcjIiiUUj9Lw3JJgduf50r/P0L3/HKFhp4hb0vlEZ4udoeRgjXnCdPEX2QZt
0BbGyYKT4Cfpv8jYmK19daZQHQFUqYEsEj2vf50SG1yfY456vlrGlNKeaAZ9BsY028iLicW1b9AA
CNyU4MuzaFvkKfmiPlJUfvl6xA52niL3YUx6cexZgwUfK9qk/YSfHj/mcBjh3u7hC/aYm+c3nZ+C
9ooYmw2FSR46/QzGiiVi2rTz8t0b6MMhIy3tN7f11PmmmXvt+Oh3HtswUIOq3zPjqgO6S9bzTZCI
8bNZVlk0i5NmgEniLIPeHvjvpjGWY4Kq/uA77biO+kZ+zsVEu60c8I9Lal1tyuTaaghiWkcVHuza
G3gONANpJUdaEgDZrBTqULbkPjcnnMCLFtZ6B0C5deDoxYMpT52pVVvdbt197ULRXLHSGY/SawHz
If33kal7E2TnbNovRnctozZ5MEz6gj7JKtSAg3WMIkxzGffh7Mx1vPY8rLl84wBskNczdPUUd2zi
HzBzvCrNconkdBwE8q1cE7pKkhtZcxvB3ns3ZI519MbB2UBWal5Hw8kOpCART0oWb0BmI/aosYF0
4fvqOCkvR/uqa3PgWwnTuor66uKSI7O1RzUeWqKsf8TtwgZcYAqxBGO0HKvoU+mI/FscDwskrNh9
Zl5fUxKlETAFe2iswAOivy4cfBIbNN7es6elWHRkYT72c+VTz6bAOOwbVmDpuq3Ea7huyXpbd00+
Vmu74lbxbcxZoeIsCUoKtPsqBeGxxjIbJRsfhhbHrRn1auqDCHIAfPkA4xRHexSeJASQPrHgSW5k
ue1Sd7j2BoD5guM9DFjaIzfIlUk8ry+UdkmLOTs1dR3deRhiw6RGTq6UcO4nuyLZKzeqLS6GbCPG
jhqI8M1NG2XyIZ3qh660rCeDwPqqNb+ntfPuF1BRMXlPKWA7FDROspQdJGhn3c/F0RkisYvjRL/K
+q/USMu7K2eF17bLv1WJb64MII9fjWEaj25r29+GHH5YyhEk0JrxMcJEzCLtqKuCfbAbCpGfJnZS
MKnEIcXZcMXLHIOVLsuw61vCVEu6zDR0rSOY9yEUCNtQ+kJPYxjyNnioy/S40EJU0fuxaN1wsLmN
sqT/IlRp+ZwBeQPmmtYDWtr1JHAxg/mByyvLvW7WRUD+Vh66CQhQDPk9Ri66A8GCsv1bPwzbhXms
1VR8x8y6An3ufthdiYYSqvTZG/oWemx+8yIS77Sr6D+FdqQP2xoXGgjR3vQCU5wbgdm56XPg6a3o
hi3eIuRLPaNlGWC9PHigcBepBX5WncZUG95KH3iKp8UhFDxjj6r9BrJErTro7brunHtz6XeapL6r
QWQd2iY50/sFwmaUIemsl1oT+geSbMXSRDlsqnKinT/OBxpgT7lv01bQXRKKCexOoZvF4yD3SGoP
MQJnaomp+LRglwNkb7+jYLvHzWuAcE7rOl4ZJphrZvsm24EmUOZRAi0i3bsmGsMVsUewkvqKSRZH
D/cgtClftwsFMhpEF2EcEk+gVngjb+UEQTjTd4h5zgGavb2xaqSj1jBtY9bcje7G+YiwVHzUZWU/
Ok1cDUGcmAmgMM10tthe+l0xz9Km11Ind6RL505ogdB5a0dDi98jfoPHs5UwQy0fRKsNZrlVOMmA
FoxBznMr19TSweJ5s0/UvaSV0abzBTBG9NhIEKfp4Nd+SJ7W3heImr3GvGuEmTLAHJWad3jy03fo
tOyKLlrxVQt0NfumET7MyNFAX/kepxELsSEsOKe496KDk1KfrOPcMdSb72f5xY9dYe0ZZ6M1nQfm
Iwxos/tCgBi/KbfXqjHpiTqQXIaY/dDRGSGwnvr4C2EhXjM15o9DDwp5zbpRhVa20NPEco/50Ukd
9w1q0/A+16b4JJ43BxPlD7D+fc7NHXUdQNepIPCqh0/UzEa/ywTbPTJiuhFpPFItRhJ1iae1rzSK
2yAzVcsIs3fvXEfQw9fcFUQaUhaX4uTo4KPQIZytzNx3pXxPdFJemHOdBft7XEPE0eJDlxHNaRuY
NpCAV/GFcNLuyB2XvEVN1lARI0LvYv3enY1PAAUDWm0SIXCupEyX5gaRMYiO0v9OtPlVNNOrHXUT
WuaIY0a2WM1+ynktuEqhXbX1yQeSvnZabnT4BATnCfMmsjGGK3t3xQ6Z0yXDjl3i5i6pVHvNnuJV
sYzlz2UkhRXnSQe/hHT3KrFWZLlSM9kj8C10LNEaR6V6vEWQP8UDqT5TatGkLkRzyhAw6EV+7Cwt
CozJNTaGl9CkILM5QstLIROgSms2KO+X/Vhb/ffUyIgBaZ15Oix9p5NFIPKMg2/KWLjp2XTLIWbJ
S9Zkr6/mLPZ3s47LQqfUMVl/yvqkF5V4bJRvcNCif5rqGsMRkb0hdjXCeWTFpbc6HVMMoOA9puV1
dqnayjWjLDobJIOkZ/BYr0oZ1oUokwjcaW/N36We5ruB0/HR9nvndW4wlTDOFByt80WArJh9/TgV
Gvwt1+UyoAfTsrDs4uhs0Rr6QW1KFbJk0Skd44pGBdePK6klrhFEwiieKOFSQgjaEJDImiRxYJM+
BOukG/Onsm927SDVVpTquQeRxRWMnxggh9Lw3F3BLCkYlrZb6wRIEiffCnrcmXa2YkaKrCvpU4+9
B8WIpDIZudFWhaO3X9WSnmSDfN5O59A1202l4NoBQmHLppG/XryUDnwiA/jQ46ZDaUNQjCnjrT+X
JjU+ahiSQET6YQ4mKlyMd2pXUn++6pVPb9Wxm73IzOYTxCjWusnkBlFYFtNV2fjjY4FWFYq00ee7
PIK14S+Le+8mROaZk9O14UCzjmxUO154X26zgj0fX5ImPxHwyclilOkdkxNGDmZZ7KbWxxvQ6gPc
NLtUy3WZUnCWrqGIOcJ0u/NyvSCPqR4YJwDqfoX6k/5YjNZYV4hrHh0ZjfSJJ5kexGKzhAl3fOhz
xmYjPtmAdQOqdWpKSqamtvetiRVk7UCZOSnOMXfjHIFsHzqJhTNJJgTjRDXysPdgHjaq55KvNXN4
zjsgjJ63EC7sjG2oPIMAad/cOy7wrBUOx1AAF4Fe4/TmkQquXiU4roFRQ1q5VJIg4VT7SYCKtm7d
QbvPbydetZjpFb0eTjqooOu6LGCOLIsDDjazHnBjLs92YroA4TSBW3JB9iswPQC+wcqR19Mauyzr
VmXm9+icCPdzR87OoM4OrLjTGtaltx1YpUPHypn71+1tMtZExktBu+EOWNiwkTnGhCq1nCsS5fRI
Crr4Yfguod909dg8clz0mwH8CBAgvK/kVKoNPSRro2ODX8lc618xu4tHg/vzkkiDWymGDqvspb4K
pFqrmjnUmp2n22QssjSoRnuvNzqc3Cqf0w34u/IxLWUeDnArXpqIta4m5jcLVYWybTXrGZ/4Rtsf
bzGfTJbQ5QO3rJMfNjraNzF66RneX7NhnIiIH6HiCsy3WHvI3demjndH5AUs38qaD4n2H9yd2W7d
TJplXyUfoFlgRJBBEuibPjzzoFmy7BtCtmXO88yn70VnVvWff1ZXIYHqi2okkEikbelIhyfiG/Ze
2+XKCcuBdwekkfthjMbXwp0/w8FRN2K4H3igmNYzTfLzrEseIohm/ZawmrVzWPNw77yF1fWhouvt
DyWHJ0bgph2OPNY15aNiZDrmLhBJSJavTk1823oRkdVbehmBbwa/WSQDi3ctBhEcbSdvfkhilBQz
98BR3X1NkMKpMCfHT1MD20g3rsDdCCbyY8iw6JmnK/6SFpV4HyUccu204S4ki2UflMFyr2HW+7Wz
xgZBw2TtnAnzHdVl95ouksGUm4PcSxaxMvwkFEJXh59euLhbsDPpztPL/Fx7dXUtSBTac1tkO7yE
7bmYoM/hfB8k6xfxu0vufUKs64tBXNaWEOvsbBNkezI6D0QPd4gCvujO+5akljsGLd0JDpjxkWL0
eVMthXZBk3RsjYhEWe1EhwlkyF50epfJqf9pYBs8xaMMxMaRo878SMTXYBmnB57IjJLaar6Wekh+
KC9jlk5o1bPjyGGEpdcz1JlZH6NgIHyMpLUp4b9TpiQvRB1BQ2G5QUi4OXTts5jy9s4CpwAE1y2G
czcLeLa2MfZYMrz4WMcRG3RQwQ/kVLh0kgQgHz0RZbtKd2hURMVUD4LCSzCAD8SFQCECbujcZJKc
PIxVe0JmWWK6S/YaNTkSEgCibEHLm1Ear05hfCqknS95ZdRPpLMFZLpO8VrVloOPk+/NNJrhfgbn
8ALWbngy5qHcJsnjyKh1LzEmv+P9aR9soaZ3IyD9NEGIclFl7OJXCfp3jpV3nWbqNhtrfTDm6R2h
x/ICocU8ZGGUP+AAS6F3DunPYQjafT1K02/yIaZVMTkdEFgd6Q1j8FKV7Eg2ciyb0J22PgxwP77m
YY1LBBy9/EGGOPVYW5kG5pRlviSxHW4LkqiONdjRLeGwix9WvfRra5VGFL3L0RRWp7zSzH1WA5xy
+jOMpRJKnBDvsL5LzlpeFezjOBePDFvjCzY/tWdmm/BVYaSWRD3B08jUQ+VAos09WEtGBAi8F4w0
kuLXyLxGT9wZWdBPB8poEN+zsmoy0SLTD9qkONaaqbF2w69uFP1EpfTpMm31Q7bYcSD2k7O6uVud
HKq6/Ew1zkhAZwdSzbNNPqccfjNYhny4hk14HZ3ybeo5diBCbKeMxZAhZtx4YbTjI+v3wiKZ2BEE
n1XPuOmOKIbg7A7RcU6KzLdHPP82W6FuM04sstyecU/eklEijeMCOypT1rFP5qtVM/2egco/Meqy
jq07wYfsQvTI1RLTTPZ98s2p5mZvOGFyc504fZbsv17sgo6xXGJG4XkpDv9jKYG1Nazud8CBww/y
X6wb3Dxzv7ghBqw2bl9/i/P+qzNY/xulq66uDi3xLfwHXpDy7+BS//Yv/s0HIj1toxqyPa0dTyNC
/asPxFHgpejEV/n/agNZBekIhrsIo4L9L67go+MJR3qO0qvK8V/xUta/oID0BCJcS/Dl3H8qW/Uf
pIa8MJPEAIvpM1Ju88/KUGccCjsbx10ShuUG8R6JwwktFgFduB/zZPpPNMR/Vm+uvwgTzzR6V3TL
ev1l/FG9mYWqTXVmjrvFapPNYoW/hqUiWmk0ps0f3oN/x3oi/0GjzvcC6OVgPV1V27b5JyVxr2mh
WFZAyBEmrsDcZmNYh5E4JVJWtxSQxK1fFJpC2eEwqxvvp87K4QGtXnrKPYvDjohPcTbnkW1L2hMn
skm9sPnCsoU9S4wa+06vWTowTNrv87jYAVqQNWcHnRs6Sdxe5O+Mqvw0gn4d8abiheE+OT04bmtx
6azGfIgzSfBIu4b6dIljfXY6QsLyO+/HbbP+Fwu66DPUcbBNsa9syyBbHrg4NY1JPYcH5H+Jn9IY
PSYAcC+16ZkDByfw8k0aYRHecEkEXwilWLAHMrPFMgt0nwGJOztkmoeGc6gWZOMkPCbYynpvDCH9
WA3BRcoZml95gtLDafXJCXkexNDLHavtazHrlzXjoNpCSA/OC+CfSyxt8k+n7DpFsmPhZA5+GFfv
Ro46yzXBJFukWBW2c8Xx3GxiTxKpVDUACjyD8JgIl47Z94yMcckj5fAyyNzaRaLJCmEnmM2caQrf
Yw9FSj5Z6Xauwf9qx2D6Pzh3HQNo0LGeH0WIbJSYup2NbndgwnxIYTQLTNjMjJ/memCUAwpfiyk6
rNiZbZZ7J1mLwU8rxbdvGjawIvxVJJyidp/wPyKkMIhkjygWPH8gkA6QNoZhbfHNpc4Jo3fNx7Gn
Z+spg31BzghAhVtehCl0+PD7yC20wW/oMpk1DvFoPpZps3XX32jK5GUbWNFzJ5LQNyf50+6Dq0id
E2oIaA8MyUxkNXB4CeWTrXoMKPHpIMTPROd7lZo1yNnuoMzklyk1mRNB8w4H8RcLnDulkl+pF1/h
aZ+JcRJ+OgT0aFH9HBIKb9jA5OfhEgXpoVPGNcrgKkP0HLjbXIa6dVDXIWG/Fl7thMnFfd3Zd7FR
vhcD83tu3WmjxuxietMn3nmoRIjR9mnOm9dMLsihkN3z0I3eDmIDVaWLXI7BMT51y72TyIjvVDB9
j4L2ywQoZWdLiKCY+2MYi8ZLoMLrDLTKXxRpSqXRBr50Sqi+AQHyOrwAjC/ZC8j31PT4AZjWo54s
NtkYfw9sllMFjlD4JY7fOYzd10orN/nWepTGCT/sgPjEHn3e2Mcoh2YWlFhljAw8W5DzQU1rubx0
RouMqHVeRpOftHBQCRS8D0xPv3shKrP/J9fmLf7R4Hf41f3Pv2Mx/o6M+YEDvoEz3P23ii7nMnCU
w+X2f79dtx8/m4+/fBQ//3L3EX40fzl+IEeK/2i8ZKT7t6/ytxtXkcXDxkzASrQ0LkAO/r/duJIo
HswDfE8b8410ue7+duNir1RrFI9rq9++Sy6uv124/Al2UFKTuaTd1XEg/hnj5Z8vXFx+UHe42TFe
8kLMPzkiEy7XSQVZsBu59pKE/ZYV7QU0PcJo/jMv5J/9C/gI8C3ggXS42sks+tP3CmEblJXdBpD2
yj3dLnng9bFNHULP7P3i1V9zshG78QvMJ8NZ7sOc9UOk3rNQYjybLhPxH7qQxz+8e//OvfwPjsff
r0pJi+QjXp4mG/7vSoAA+bun8zrYVdG8Q+h3yliK+qN09oQlQC4g+83ImYTqvcs15oXDFsUghkHM
/HbnM916/I9fkPz9O/+jPYZXhCfQZbateU/+oVDIYQoC+AqDXbv00UEm1ilEnflkeSK4n6LI3FS2
kd1DmuLimvRypgTP/W6x6bIxSdD1Ft8MMn8eg05kF0UQLCk08alyin3FXbdVxfjNmX5AG9sObBt0
Wdw0CMEUlQYiqZnhroRQQ9OxU3CJwNRtWoRYq24ca5BfSPtm1saWzLl9ZRXbJLNuXkqEWhSftfE0
yvJpCYghAQFk1cQiQX8wzH47Ah8pTHkOdXDo6/LaaglLv9jUzfucGycWuP4yfDdATjg9c8dRnSv4
StI6pt7b0A9fBmIRNwBzIr+anJPVvQVjjyaN8cxQHhQy6Rz7MO77x8U6x05yh2DFRyLmu/YM9Do4
21G3TTm9vSDDajk+I6I74zDdT0grdRoyzc27VWQz740RqYJ0uCo9H+oVN0RzGyK9b9WvyRm3TGH9
DO0Hx/ge88umtb9o1zsnRMnDXTyJDMAHWYAiHljGZH5il0d0rz6AR349fBsPVXs9PpWNTQAdvj1D
HftOE/M9rtNkECFJg4Xge+TcS8yXyBPgrGEM5QoxTe9cEdiRDu7OTHJISM8pZYDR3M3VSmSIPhDB
7Szrez2V39oWedRAYcWyI/TuW/Qk3vxAAOvRpbbIXZpNNlvkvfZ3pmdXz3GHntrJjdtc8845fXpv
VMn4JJepXFOXMJt0gfcQ5Fb5I1Q1E9mq4peWDxUURDgKn+gHo0dJdvOHp2LwZwr9Opcnsm4RRCdn
tJ4d0ctXDXvvRA5B/5VCn6Qq5YUHwJRYCqjCwzcmcuxQgLJuSOhknyFTAegwsPv82U3nfi9066Ce
XAwFzG2aEWxWevqwmzk7EkRO+zrVQ7gSDuKr6tW93bT6sVkG56mTef1Xs95/dW/5/98lySn5hxPt
H6Lr/lfxM+KGfGg+fn620d9djL//5V8vRReygLY9lJ+2JGfxd7P5t0tR8yfmevZxU4IssLmy/rUN
9f5FcEA7XKUOa4r/cycKyMhwj0mgo2+0pOn9M1eiWO+hvzt/+RaCm4rbV+Oy+7OLFRCBMYg+6fZN
H47tc9S77sviGOR22FwV9xYrB7JbRVnvmZmWe8vsEhR+of2fOO84VFbz4B9fCS8D8Tz1AX255kb4
041p2oMmFtiTu1K07Vvqzv0W4lNwGsJcIg2Igf0TO89CbkMsyeRXZFW4+BIwhU32kf8r3hsIZQ5l
GuXfQEmam4JIhZpiNI63OSniD2Y3B6dFct/PRNPcRfhmEJHBDtxZECkfo7ZBeQpg+YRnuvENRAHE
CoSUC0ZD1AZt7rwrKK39yOzHd+YKjoSww6aagxSpI9YH8I4StRB9G7P3sWcl3wR8ZIkykH6fWHd5
rIyjqxPU2Qtrsw/TNrObrRCb0FFmPbtBs75MuvNjNnzfleqWnwLTGPx40zuUs2KCmo4tfSuJWcBS
U7qwcCy/d47bnoiwaO4jq6NnLoXc6jVBB69H9xBqBdGokDPnqDpnyCHJi6OR63VIjAr67U0Cwoc9
h9Dvog/YDWhTvkYjEqueRJQTY/1gszCARVUZGnv+iomuEEZZOUbNsWXScA0NNZ4GmBpImrJ9MYdk
d1h1f5k7A7MYFoddxYh65/S1BPXDEGxPJJ29Czpr3oXM219sSAeEN6xogxAtbVaM9jsSwWDHJdjs
VGMCuWnVwo9WPywrRjPXxngLc2w7/TgZX8axHvaJ3QRHBNvEHpYS+FsJM0ktzfCzzhMkznlaPAJU
Au0eaKO/jVXenONQkaik5b6d2FxGRIIVxsWtuQDDCb7iYDr3aMrpQc0U+d9iEseXFxIXJhZphwyD
Q6pm8KethtIWcS6TdrwlABuMRJLvWmbHhHfrDUIc1p59W2xHAnSOCs3ztuqa+q5K0+4dWXTHOBBB
yRKGxHYXhvHdWWoyioZivsttXE/eyPMU81jtrb5Nd5VqidBmmfMzbDD+jbCavizSkOtAdJhvoTXS
j0WleDQnJR76fJjuzQrWYl0N03Zc4BYhTr6PV+FjlPfLocJR/Jhltj5kmbU8kkqT7OrFiAEyrGkb
eokf2COxl0fUsQN2hGUb3RXmBWn5dlTjJ6DY8QeyFo7lWFVvWUGqixezlCS2JdoVXv5LjVG4E6OX
vwTWiv+dG4edD18dzK0+DpO3MLqYrFNpd+6hICEH0NyM97skA9fPDc+D42C6CAyDatsQVXdsOsPd
pSGEroNjo1DDK9nY+17ZA8EwWvNZY9a1NaifuD3zOT8mzLHPc8TWrVeTvo9bQz0NyOfMor2bqgX0
3FCuhloLbzYc4K01aHEL3eje45DZMcS7N/uc5dxIIWEWqPyEin+w74t+5SEwypW7DYFsCcjiHc37
xVH1e8ipf1Sg687NMFTEIllsaYrBpuB3yFzmZft1bwdPYWGpD1m51JQJrItu7PsfDSF8T5zMLvuA
svkma2ZNgmQ/3yOjjboQ7xRZk1ao05Nr2f7Ew8/Y3en7+WAviJC3UZjk86atCPwNIqKAbYT0Fd4s
cyy2WBiTWw/1nABII9lj01F+BK6WgL4gjBiiNA7h0LWpEEP3g+oQqYya4XrwpgBk3Ft5TI6dtMFP
YyLJeJ+9GNv011y4/aMhS5IZAcI2by0iaj9FIwC0tCGlzNbYYVU07znT5kMLWYBsyjz6WoliYPQR
suzIo5UoNSlSYpZqLNhGo/1R1zVH6exYVmDtVOV9zmwKQgAQRb0bSXk8u1lrv1uxt1pMy5y4mk6h
vXEdfSjYYywbDxXpr7hM52oXAPL75bQu8wa2He855iD4WeV9ERlf6mls8VEQnkimLKqPIs4XpICg
ElHWEDNDiW19zZwUgp+OwvLdypvs5CUz38AcnVMwUrvOeY6tRwZjtjXQT2Dcr4PsAZA+bu88GK3p
pJN58K5VHoj0EyVf2z+JJLeeWUopMuYqo/po+Sh8BIEs3krCJsF1kOmyCUou6J1AM8qndxlfq8Rq
DC6pwHoLh+E9RV55mV3EqFjf5sbXhK6yl4WP7JuxGsnPWJ//sGrUE7OUHLRAQX7bFM/6l5il/cRV
2Lqn0Umy5LFr2/LUYUB67puakgAiu94qVPz2HZKa+leYt1ikIyrfLwUGpx8zZIoTKin7AFFFXyAC
uJ9ejrkf7qWZQOUXWOQSa0Lzjyb8WUa2vhUrIChNM+cwCFRQVmvU+gl0EH0xrsMni9P6mY65PjJQ
orloQ4mILI1cjVLSncjcCdQRbUUI8ozaZYQJvkFH4Ly1qInc+xaHYnIe0ifDG9xLIhMcN6CysZqV
AdmZHtvxL6XXxF9HO+lRxlQxsoI8Czu1i8ve/qaxdBT3MPESWLNxsYYAZC5Jp2L1GbDnFY8C9yTH
rYHmYrTH96ypxKsyRvWMpyY/e6K191JN5X0Ajea1oF/Bw9zS1emBL0GtNSa0pg3CtQntDljJ7iIc
i4AozzUe7VmWB4Eh0C9IjPwEdC33LrjR2ZfEALw2k8B/mhIHBtm7IBV4TnOmvmCkkIAt0UBzFub4
1xMx0oqG4SkgsI8eC19XicTpS4hz5eYoOhp2Ugg8ckv5WDokPSn3Z87WzMC9eWIVv9z33ar/hCvI
YNekdR1C9zBNCdSqgviVtvUhJ3XTBbOzwZgAJBrxke20jGfyf6Mz5QyTQylIc6Bs0C9W20eT75IK
Nx5Y64qHtAaAO4Lg2aQLq1Y/aVTzxL/a28kcH5p+RWLkdrGlX3IuY7gGEZQgjbZF27TvVUB+VJDY
M1IA2e2DtAm5jpS3L2q0FKVwskNQLuH9gDRz31k8oxYY2as2VhhQyFCaVXBlfUbmaWqKd232H4EN
dl+lZ+m8N8OogJQPkAcsIhu+U1+StyzsCucZXkRCLef6gbEtRNQ0yAjDhKN0R1y8Xg6z2RNC16be
wTXgTYbp6qZhNnpkzaMP+DbdLbk+Q31XMlKkZ+8FGCEUnlNgivkBIbbEtVMu9k17+fAQ2ZEBsktl
yQVccfoy9GBvZWaaBwS62Slp7QQteqTaHSKX+XNA7kMucYl3xu28NbTNTuKtl7SOwrGvGPCg3ILW
X+YupKgJCiupwDbo6g2SDRRsbjvFmG2rsUXlkoekehEGuJQN0yj0r9fC6c27BL2RpL5N36YyUvKM
xs6AWMv65eghjSEWwk0IpJAuOi+xJsObMfjtQRhHvJvie9+G6sEaVxJf087mM6cNAVhL1PfVNprY
tjQd5NkhILEq9DDEu+xs0oz5TF4dwqBgEWwzP5d9ZnwsY9C1h0F3xtlNko9aGd49plTyD1iaZ599
4YT3Kacit38H8qGZLLqHfg5mxiNmcXNw6mIoGcw39GveAxcchhpztC4e2jIk7rLfQ1ThmZjK4Jed
kQ+ZCuXcT+TYU0A7/WqkdgSnaGW8GRqn25rViwvcqwrzgPwIEQ06vyeIFAxjiJFRdw0ZEH7sLfTx
CWEIM6f4AWwsVI3OpiwDC+4ThvjZWBUDhZDkCAdrCzdnGFB0LoL9yYg/iKIgHtVF8Q7tkjl1dgOi
SsANjrXTXDQYhutkl8eBc1t3O2+ib+5YW3V7yMPtAc5Xy56J5ua6ukwuOm2cNSIg648lPcbWQzxL
YIg9P1oT2kaCFwAOZK9a5uzS3PtucFmdiCj16yk195hgx5MRu9xM2IRL5/d6p1vus7rOfwxz09+X
VF8bSIrhNVrS6IgWYDw74nuK1LDrOgtSQeqbIWh6ZVgRvRRq5Dma873gQgpJaVgJA3EYEr1Dmiia
cBZApym2z9Gsr0AvL+kS61vokJWBhbLZsBQb0eZVNnRQMRiUjPlPd4TcvWmH8QWVKkV0EZY+pFZS
ges03uK5TR/DmYo2aFBJu11vPVoid8+DWQ07lkMehKzfSV9xculnB5qIKhtBCQoNhceQWRgGqR0k
1gyX7nQMMq0PiG7PGGTwBo6rqvNgEsCQD7M/svHdUnXEZwCaid/IZLo00ja35HgiMVjKsj8JJxf7
BHk5/k38J36eNtZ2WaajRfpDzU4EHfDg+rZk4QMjITsFC/O8gAyFNxHA68BePxu7so2MSxTW3rtp
V9aB8F7xBbskpO06zM7VtPRbYYjwlmFN2dmjR4zJkMhvrnLVF+Qk1RMVcHJC343XrwhWl2RlPLGF
tJ/WbGDOShuGHOrZ6Nrg4b9Feb2Aya3GHyA8aKFFRcaG1ZU/FYwNjOXddaqTC5gbezubwXdz4u5T
s79gcQBPYLzUSW9c5DzoTQVT/mgAUz1Nsvduox69Z5fF+LYI6wQ3JgXs4BRq1yrhoi6vrmZUANMA
7KKxVkbs+reOmT8lw5RSJxTNh9AFUH5DBb5Fi39qlTxO6WKcTXjmu0KM3d0qqjqTP/hkEzthuyDf
pNXclfJLbU63nozzBa2R7PTXNBrvC1waxzSanl0I1HiDmew3xyAljrpoiaIPxKouypsvTei95zkW
xSH+aBhs+FlDNExI4sdTMvX5EaEsB/uoiquVjpLnGCuq56YX145yeILWcsFAa+wc282OeeoerJn0
mDSJMrDGRXwauyw8qKF/NlURs04s0OJlNHjLYNSkKVKGn0z8BMclytMfSiblNcVAufgxMXXbpOeM
lKZxRAirtnaXmYfQywP8CE7A7sEGx4EnDi0Wnf6mqBPnGodoWt3J2QKZGE5NlpJV7JxEH10EmdGL
yutdBcD+FS9ydzUtR70C1l8DEGDTsGIkB+kAVDnXmzSY3d53k541CO7iN2P0sq2raFEWDRQnX7zq
QpjQ8Fw5wFltc5PMNn9/IDJaJucurz+LyW5ueTobOSNfPJ4c8Gezwv+Er2HPiKk6JS6S/hpR11am
zXxbJOn22pHmD8XPhzqxJ2TQKSbrvTdc0h8T132Y+sLeszgXUARZAoQZIsV6Mvfol/yeSHDOvPJd
QdB9GgIkeRs5efMjOxxHYqDSzb5jzXEYY+a842jyq0dGj1+QHeyIZwhnFaJj/AlkgVR6RLWOyY/Q
yVuIHXRaxKeliE5pF+fsec+TmW7jSD3McXbKu/g7A+TPmbWx2phVSSEuawxktg5ZJwnMHFybhj/a
GcJ2aZi70shH4rsGaOLEjx25uY6psI/s3ZFXDtsRURK6/vyI6YoPlJPvuG0/2c7eGYXtHVpnOdqG
uNhIYTfUWvt6GL6SXEj2/KRUeqq5Dp4bYc6skKOvvZKL35TGm4o9+x7BSvdh2ArsHn66IqVscWgg
TqqmG6NEMZ4nT91KhW0/wSDmlJW+kufOWsCW7xzg8LnN2n5TeDOQmel5i7X3LWedt020C6C+ifbU
0H5Tpf5cdp+92UrSVickYw7WWZzdiM9y/St1UAxH8SlnWR+N+UutEX6l7JxjxuWbmgt8nwcVeH51
IAT03ajAOrqzke7iMTBJHQca8kyT3e4ziyTtgHBNT3QPY5NR6kHof4ha9ZqU3uw7E7JvkZnUi4KJ
EUqjfqPaeE+wTIy8UGaM8oR1NyHX3rrI1UCaJMHWBsgqW3Onm7IkF1kMZyu9sgG7kEQU83Esnvsk
X/2a58Brsdiys9CLNzXbtu9xgpcifwnrcnrHGHhOlhY6CA0HMPnpCOBxOnQVXPZdNs3lKe6wEBlY
SE6GiOQxxXX5UC9D+C1MBelOjvqg5X9RTeaPD0TW96L+6TDnehlj2j+cWcEpYjK0K6bhamAA3hSa
DAh0s+7RkllCb9KztWTc0vdl9aaIijmmCWJKwF6u2omKFWvRDc22JvrqKh0mZrQNAavQRT8v0Rij
NlmmW7lYxNgnUtcnrZN+24Bl2BbedDVWy783JhNvlBkeKkmehSOd2UO5ouLXgZTGO56znezn66wh
JyXEAKFLNpl6nZYEQxX/tn1vW8s4weiKd6UyZyK4FucH1m74lh6mjCB5xgQbHRxc8gdCutI3A/D6
trabh14VvK4Yygo4lGCLyRVbEfc8dfJgMHwFeiKz6kmbBOmAst7Ni0NQgUl0zWmp0MHU4/iVXDw0
4ZziJw3p4ZaZEobJmgwNSDvFbMD4hmp5nJR7dcIKxTRzoYqE+4S/FyiGUFERMaGq7Z8Oo65Ni/fh
odDJ9AicrRZsrZmHA+sbmaROe+AC4RfMFum1dcviXCg9Vbs2TlhfGQTEQeieJyTfQD6+NclI0k2q
7H1JpUlBlfbbHMcuUYQmEpzGQajJuTBnAteWM4TXQc+Xwk6Mt4B85U1S0XrsWkOIF7JuwQNJNwVh
l5U5CcstJZkTVOKIqt+8IPAseDqLHGX/NGvnDr1dfAnCtj7yT9TOlHF3pZeXbwQH2ycEyvUvqN+U
joHVXseGhqkwlPkIvya8N3SpDnXUJAewBxRAQteCJEAg5duhyu0rmuNtQ/GnhCebTcKU4uo1tnzu
cxmes1nKFw5+El60ig4D3o9iYzbAgCTk1no/mTkZUNBM0C5HBCyhDsRSyVaXMVvdMwkrZxl9uJrz
YhPjbHiVwr31pF0xzByLh6QuQbVN1meApvE7OoYy2qJoCH4GWZy/UIZ8TYie29Rp8yj79kV6mNaG
deDVL+OxW+Zqn1I7X6bJ5HElodF3dTEcYacXH5UdO0e3IheRFEBzN5SkWISMB7E8pcuD2Q9gp8ys
I5yYpPv9kkoCkU2LAZ3uaSmwK5UkgN+5WJP9qp4cIo6612GOyAySzZdYQLBvWE4fUmnru6UL46fZ
aOtvVugaUFcCZzwouydgprcU6XA2jU0YvESR551w5FHu9EjB3P6CwDzhwJuS8yydXzHl/xpSxx6a
ERQnwYT+b+hd74WQOC4T8lcmsBZQfPUSPPTO8qBD7T1GDtJxMaB9KDv5o4DPvmmIjr9NObVxg3EL
X9hsfAywZ3dB6X3zOuEegUyB27Jdy5/RvHN44OJkRUTI9jRIceTWpTWW55iq6TXJBEQ6weOHAQn7
MKkERxo76AZN9tjFGtQ+i6m9U3dXQaHeukCS1MJUcjdgCTkBFDTuhnnyGGJYL1Gl+XZpznqlIbMh
MvSw7WXCCL/hh88qvxPqnhBA8ypAV2JltZOzcNHOizT1mAzp9NIV05OQDR/OpsDtja3qLAPveZ46
6xIVxbPJh2hj2uMeZJ63m7rspcySu7lbxSKaBMFJYm3fLKkgk9juF/MIgKjbSyoczkJGoxC6sL2Q
cAkt5OJhIVu5fY3FwwwZnA8QB7Lwmup1Jt7mZ0mO/dYoIw8pZQPtzrPbU8ljuCVhCrX4vKQV5uUi
uXVRGzw0y7Kc5067N4hYGQq+5NUO9aMGTLfvLe8DO/Qlm8Kry7T7YNktpeCsHj3qoksc9X5Tw1PJ
m7e5T97toWTQ2lYRwgtnY6SPkO6i7cKC5bmxFcAKo8yelFk2lxoJGZEAOnqzZaJhhiAkGKcWpmND
XMsiHGQblbVz3Mo45J2HYf1xYtd0W8lR54TP2kc+BbixM6ei7O4aZi+9zScAzcmVlT17sZpYrJ0L
GQIXjbudRHMSYCmgB9hEC7gzK8E+plqACT1zneQZPkgTuS0jR42tss493kY3l2/4OK21AKrskztl
xXfBrIHPTy/LK180OeOJecWre2BAKPcl59sN1nni+MYwGT8IbCByG3z7YzwuwymEPLCyjzrz3Y4b
NHpAja4Lj/IbaoTBn5ixR9uUjMt7zoUW+w1ky2+aQNofkdPR1zE08AaWQikR4Jd2FY8yvbX6N7tr
obkYyPo2c8qbwI4JaiI+kGTeLF1MmZlVynshxaM9EdC1cFw15vB1NB37tY9EVBwyhzlVgW+mYJJp
WSXVoMzuQ9s1CoheE36AJcRvxq8ktir0Q0782pNUe2IdRRlX9DLe01FbmHtyOKDk16N+dCS+LQ/A
xXviFD8irA+4ybsftOUGnsK4TLZmLX9kFHws3BYGVhsjYSTS9qZ7GSQ+HvZ//GfbV0V7m4l9o6Q0
7fciSfks8cdmezOUbr8rMtkdv5VBua/6wf6ZUJDvl8HSJzcI9Y0t63SHWxrXwMBOuEEota/izH7s
tcWJFhHhZ+5qh3eP5Bx1NIygYf8UgapzWfsw6So2lIrDJ7+dfl90Ezw+LEtHCENPeloTprNAFH6C
78tP1gDqbo2iZrIW7aHMwvaALeK78GQ66Cka1OL8O8va0VO0dWC/fi/LuiPVMsO60K4B2HKNwpZr
KLYzZeo++52UDbgGfSVGJqgPCJIHkGFEABDi1RCyzUbxUK+x2/iTPgpMiBj/ieTmwa93i+H1J5CD
8h4HxYfXMtFDmyOzTT8OX62q6/3WCmvc0csDvjEcSlVOBJa59ABJ5ezrLkdBNb9X8TZtMX0qick2
dkgn7GvxGkIEhQDVHLwY/10xQLOZwrLZ9QnWt2kSzibICPcsCCEl/500J9skqhuX7FNfmZz1vf42
BR0KtqRwa/h6Q3NLXIZf0/9m78x2I0fSLP0qg7luJrgYtwbmxvdN+64bQqGQSBr3nbSnn4/KrCqF
MjtiEqibHjRQqAIqQkGX051mdv5zvoMEdi2IS6akU2yBlxVLfRTJ4GrIh3gD12J8wif2lipEh8QP
xEVe19l9HrN20K+mEzby46tu8K1tbzuQcmq/imiQYmFQS6kC/xgjS3LqSCT4vk5vr4mzZxmUsjjE
Z2TqxCN9oJccS4WxIqTHOY3G5UBZ4804JcYutrt+K0afA1oxT9Xi/SQKRqdW767nldrl4LF2gVct
SwwB4EgqnchLOXOqGur52h4KAayklYyHfl3Y5S0nM3YpuNm3HtS4MznIfpNN8Gno/Xxm/hYc2YiQ
E2c3ucwqDjRTnDlHmzzlkgYUWqWY/Z0B3rIfXGpaslAfNjK2pl3Tti4lWmV9LJURbzDg69fRYPZb
hgzInG050AnFrqXatvkQ3ET96JwjV/KrSIaCbpVDG+DzeMm7KtgfiKkEkEd2h+laPpKSAUi4jEpo
Vbka3feJLtB0y/SFMyBTt5E+AB8amlB8etBSb0MlugurKy+1Oe2KmndWja2zF6krferw7AIiQYgY
V+m24i/UPeiE0kgoLiveQdvDfhkcRipuYXXfU6wDBLjTYEfRIdcrmtLcGmwUjkKn7Smb2pekx8az
9nv6MRehncf33N/nyazkdkREYOlirr4IM4Nj2xisHNk86oLao4g+wXgxGPSPLQQyHeIO8zt9JQTh
LTrqOmc9JPQkglzrj5MC7etVeffUTtZ0KSfWR8LGxOEiDga1VRzd3IYoUzog3RbMzNn/UxocX7eV
VyEXy8Yiv8wTui10CkjhEgx8fjN7usOUl3xXWhbfNn7tfmcC55/szjjEnbSoNqgD2oo88vk5z0KD
7DoVPI8aA9mLwqioo8pzg0+Foa10YK7Pgy/hu41Bn5iEDh2kYPYMr2ignDzMyroIsexSyDqCA/Ry
kLqWNe7hJvtgrkehH8Ms5qstWwZMmk25Uqs9UWJdP/sAfByQJj0Yt9pltemlLV8DxEqOCWJwttZg
SIpdbZg0RVc9IAw9xZH6Nox+yjLu1HeWGaX7uLIVxZ8EDB4Nzp8P7QSljqeQPu2Gmn06Zw1wRFKf
ScqcWVahHwN0SMb8ypsyBQLHcy5aINJrs0wHOsKSmaZgeS2e4LAQm7wESEN0VAaQvYZWW04pANz5
gJMgS2yUW18x8QKhFxezuTFsxh04InrnCMFutWo0rwqh9ydXY/LazqZWTB4avXZUyLNpHy9TOxQ7
s23Dx6jNrbsqodMd2zAlqFaqY+bQBDDIbtbHtaQ2zoEqoDvpdeYx8Gqb5VAnqyK2MROBhO/XcT4h
tPcx8CljCFetZpgnvUupxc5NTD65csxyVVBHv4KyD17Dbd6lEbcAuQIiq43EzlAnqVqblnHrou0v
Y93wtw5PUwoOpuykpeal3edq00B1XpjwUc6nugL1EY/jNyqXK1AR3jDXmAYDGRMbHiI1c9k1Q1r/
hsKG8ZIBtvPN9KL8qE0QL0Wu9wdZuxPRxTDtllYReTdiNshOVvtIhtWCQ9HV6syKx2SDk6bespTi
d4mn7qIzs2vDdpLTyJ5rJ2mPXInBu6cuLAJoTbB0WRHcu6vw61wO/YjXVO+EvKdIixmB5inMTXFf
LktLndV8IJZ5QsaUzKG7b6JkC7cZUkgWI0cGnneQtn1e0gm36qzM29F+lu/RMgBwwYbhGzEOBwpa
1JWSNfpm7brZMvAmKsryGteHZVkPmmNdwya988dyuIxqwHtuwCkuqYGsZwM19NkoryLmhDFuqB39
KXx/fH+i46VEeU3H/DwpiCrndbK32M5eUXSCbsAh6gRrgJwkhyfrrHT9Yofu9+o15a3Qp2MIGJ2d
mH3Iq4yhje6F3U4Go/4Y1ZW7aQjfbG0hsjujc3lwtcyk97nMD0bhdEc0ATwhwh5XsWFW9ykIijOv
gQ/GMbkCgcygmuik08yPdMJLlQO2L6xCOdcuY+uYQQLkPsrNACQMEEw3mTi5wznjLvT0isd0j/FZ
JOOalaPYMJPUj53Zv5W1gdbThPYuiAekPchd5TnPLXuJ/2s64CcQTKfD8bZvw/Hcy4NhN2f4r7FY
pmsFReUi9I38umJzcT0Aa4cEk5VPU9rj3I26sT9SANwsI9/w3h2iAPd9Q2o/onAhQ5EOqoRvvqou
GC/5DzmgpBV+eVSDiHaDBAQAXn6ot3KgoQ3fOsmm2InPrbxBKFdkeJb+YLWXaAPRazowTwYEm0PY
Q4jE7mA4x8lpxKORDCPPM9WgGo42tamTXy+nZEzxbcXME2zhv1aBLw5sVMJXRMK5M3KWoqxKXsUc
wuGs1p198NrHWQp60ANcWQu/0NsnFTjmPepG/IQ/TV2gbVjr0AdGompfvkWaMK6n0WFyEBTpbSCD
aM1YgOM96FBKI0r3Zs4PbqOuspeQcqNrGtJVuCxFlx7aSCbvhWH1NznLK4OZKbggx25DNSrJmWet
FGtNBsGhAxG1qRrWGg7PuX6ZptPwhMzinDGyStcexDE6OAfRXDAxEDdZxwFcK6bkJim0b7KpvY1T
s352aXCIwrFhnGPXF2E1Gi923iMrJnxn4FRQgwqmh+RUWZMGqBQkmURqC+SZ/hpQBhtAc8D9n+YA
ilWNkEGR0gCJxTTeTUlGAIdOmS9KjdZUGkq76NJhc7BhGAc/Fo7AdqirjI8tR32OzqgFTKPM66Fo
gmvpUycbYgS4zYP4htWVPY/NWZrl19rVGUVB9hAlR3pRxzuHSOduaksGT1raMrNmWwuMpUsefFlO
iNGkyh97ASVy4adyQHZA31b4anhExVqycYmhHhvTUS85VehbDxztsmkza+lz5Fz6knZ1pjvTDWpY
u7Nt2DaDmrX3Uu+ad8w109IrQvtGAYbb93SoQm+HvcGhC299MjhoGkxi+KoCWBcZJLm+IffFXFUz
FtjyYj6WTLAhMvRxe5Upo8UZR4Ky8wNvg5uMPWcYE9ZmdHPT9GPJibmxd7qgV2jZeMZgc6icvHel
kdWcYKbfJRHvgSOo+I1Tp9gX/RCc17KrL4i4JYdoRgCGCqPgghy8x1tuvPHA0c76YGratZPSnryg
CZVn0H/gFZNSmum0gYhqA+Tyije7KgIglUH6lLYT6T8apeI7QqUwIHBfXfZ5IJ8Tv+nPbYuhCzot
Ztikh3cfCZn/Hmv5d9vl/xtFsQ2HhpyfOeGPb/VL+vKDA/73H/kjF+b+BjwLe7ehe55H3PlfSew5
U00bge4Y9hzEnp3u/7DAm7+5ukfQmmEEbj0QJv8Mhnm/IdqzAfENItw+JXfO33HBm85XGzwnO4fs
mU5ACfO55fC7fs5GE23VhiQxkrUV8FnD7EMWBiNjvKSEvTvlkqc7vDbz6ECl3sFXbfd0fif4IzO/
PIO80T6IQejYorxIPjplPdhLaouKPYd8hwmVl1AIU7HN4wHfexd6hG627zHpxZgwquJVKLtDmXH9
+tDpDvy5rog7fG98M5glqYh4acuQCKRwzPCMUKjuwEVIw+95adsZ4BrPsRiiyhp6Y8rEfTGxwcyP
aADunQ7Qh2YVIxpPttKDo2qqujt4ke48VGowHwLX9G4xCwwXhWoB7fSqgcOW6+EB+yn7tDiJGpiM
aeezZCXqvMkHznCwnDDPwPkR/YFDBTVEIL9q7eBMkXmjMxyyN6iccYoKoJAe8E9D6xxs3aXSgeF5
cBG5TacgLKsOxDKmP4jl1ZAOF06fuc3JdARbXJNiuhSnfyLcRSSNEX68G9ZQ8yHicbIbi5PZaXGz
1uOpPhWT1G1aWxpLLB3yb7gTELJuIABlFhqKGUebth3TdpnH7Qyb8TVqwqjXSV4TrVDlfjK6FLta
k3ABJjPeox438iLRAn/HnRG3Ohzy3RQE03lQTD6tAz0wk9iX9bhuGvw3pmUhuFNyMgZbJ6yTQ1mP
ILoEGOZ7vUzcq6TSnVd9xIK+7hwYboj/I2+NB7UZ1prEQ9LZDZ6DLu4ePDYC/WZIBZUOnp7pHQM7
tzrKrMtvBF6LdiG9ilxt2RrasBcjasgSv9aIm4UrMNHX+2zddZZ1jbm02NlhFV81GX6MRW9I59XQ
IxYZ4PBAQBOYn+cSEuPRDwHehJ3hvIk84kAaKBtPHeinkbcgUP4eyLXE24//KVh17sDcOjecZ3A4
QPAyR+ekMiifqJWTiVJsBt3E/TUxxKBGtUN4WyGdgWvq+s59qvIQRB+OtObQeIpJvSipYVhUXklr
tF7W3btjKBp3+CfygLMIQuSSxNTQM22aPc3kbOQG60Nwhb89XJjlhIMgGfnFIEX5tUG2b5obes22
PlVI7d/nHIK+9zINLhshqxpToSxwegAdYiTONzq7Qf2hh8LtPNR8RglY6uc8vrwvOctQRjXie68H
lz2wg0dBNysUL9cBLugOcqfjpLvPzQEyfz6ptRsLdQr9Jj1OUW9uOAwG1TJOBrToidEtBlJOjff1
gN+qJ5VnwB3DRG61pTwI9J+bMJLrNm2mHusge9J9xhaK6ZEkj9jNNqeWzdXABaxIMKTR4vIb/jh1
MnsDKhhafNYd8B8n0z1Z3EpbVtPUU/pgsf9LNn0Hca/GmSF9BkQyIbmNJ/J66HLnW5KS1FjpIZXS
+2FKc3URJ6lBZS9fmW5DeI56+8EjHUHWxW8tb+/4qlNIEd2kzjRNk/dotTDTKqtF9uxGMQ1yYUdm
5+60duIxT7A7YiEPE7fYIG9WL8VYHnP0xXWM74G5dQXqH7pRaXdi6do2v+3iP2zC8XpXdgiO2Vhe
NmbfbpkwJ/+TcnvL27idbqfy7f/875fvWZyvYlio8Wv7eaW2WD5Zdf/rHPjtSxanZMC/d3/xY39k
3Mhw24RIPdO3Pf9Lxs00dDgsjqUDT/lhgbd+o03O1+Gp0IkLmISKU9bTmcLi/cYUgb5DR/Bgo5RX
/1sL/Iw2+SFbBqCbzYeFk85njTfJnn9e3uvK8jpndOp1HJaXRpDB9tSqZ5zPIdjRdqG1yUHgW94R
r4l+wUJxyKj/eHH40ST7fFMgWRj8RnNU/FN346gZdFi5lFcbqaZ2QeuES21+Xtcjs4u244GiUmme
YoZeWwTu+NQWhv5K/iVc++XIoDZqRYMEhQXwvLeJLoyKk2Neq/FjOnqAnoI4Xzc+SknjrboajhWl
ZSqccIqVq6Au3SumCXZyVmZzuNlxbsEf+0s3NPkHXVWUCzUOxoWglmB+RjfYkjIUgRiXFIEctYHn
UMLtShvr3BVKuzX0Cjm6zCx1VU+heTK9Rrt1cXLgqixoXLFgi7quJc7CRM+3Mc71OxlXgmlJkC6I
62EtSp1ua066fWQQjgwRx7OpEaV0OdaaBi8FD2+yE/iMTy4mtgZfSNxhNIUKbx0rHle0mrtWsA1j
HmG1FjjJsgAs9ewFQlrLxCzNa7ajcDuoYJihuBrvGgLCbuplc2rDWgN0TMfUFZ2t/VsWTPpTLhpI
ITrE/Wmpq5wfZVkcHvHPRzAxvSG7ya3moas0G7IJ/BQfy76HzO1jGNlRLoWjpMYkKivt2el0n8e0
IDWRssIv0q4hZJAkkiZzR1ojMZVsZLZUVoqblSRHoOLZNmWTtzXZDHRLWXnFKTcxMkXpmBEYi4bb
0CokLYQoe3HdIcI1Huf6jtvdGIn+kuYOlqK8hNbhc2LbJhihqfEdTj4A601SIkRZWrItTJfpBAdU
qCpa4+2MtpFrn2+OvRrbzjhN8RCVSwDa7hKPSMC4V0u5/XWmNn5XEs1nPr/I0Tg3vTDVCkhb8wCF
x3uAGauflcBJ6jG0j55RWYtm/pxjJwCXp/vizJpq/7Z3injOnLWroSmataUD8LXZQdsLYn8IMZPX
3LomBUML266TGy9smGkxirGNYsmIumHKWVRAEZsmHp6l11nGpnQ8pKW003M6o5oeR2fE0TPZCKUQ
46zBZBuVxbFCLHKtb7kI2uvZMEn5j2zhfDGGvRmswH1ToVnfuEPj37VtQ1/FFHXas4zN8RTTVXNr
JY5O42ExVu65iBIf4+jYM2QMejsYNgYa2Jbzi6SpQMesvBiTKiRDk4TDt3IaodxjrTVPsjZq49nz
mmmrXHuC2WgQWfeVI781GBAuBxbjVQVx7baJTRuhsdo3eWwTcx3eVQt2M6tHNjlIiu9h4ZbfafiV
uym047OK6e+eaBP9MkGpGEBVVn9O6oRtih1TsUEWtUWOMP1XGVjBXisctZq7JJd5MwzRMmwyewfQ
RlbIfU1zBvkzojAlrx/AZVTrtBuMc51Iwkug+nzTDUX8boKRWzNWy68J6Hg3NLUaLxR1O5dGp7pt
MEcep9Fr7kDBFdu0b/RTO4bZYyTt6h7PqXWHUVPso2bwybVPLca4pE/omOuSAQGwSZlW5yn5KfB4
Rv0KXBTZPbLqEElWpp64M4u4GNY2P/lYq2Ab0OzxHgSW4+4EWwW1ZgxTqJ05aArkO1DfdYHO6E2R
xcbFVnMAqmN7TpaPjejCxpu0aAzNr5lWYNflkzZiYQyiiQcSpELaNmKexlOJdruMMGpT+lnSu7Ji
y882261c/9SWdKEoev3g/AkYjnM1gbcPKs94tjXbv0TJ7veV7gYPjcWBaSW1fiA2wWBSWwcBjXjH
PtaCF4yPKfPP1h+O9IsN953MW7JlZk0wgjZMdWVUMm2WYKP7dRDG40sux/K8raPGPESZB3dJm55A
euWknKmE3MKB1G7yzirfwOCCI1BFtB5cs6eNjAihx0FxaquVM2X5Ix9+Fa4zxX56OUwJU9AkaEka
45CYGK4NvTMsKR3iXNa1UMo5XpXG01j21qpvo8TYZJGei4XTVe2Tlg8NNoykFA8cBfTHKgb0p6PT
vcYdhDNLKH/lt6re6GnYXFCA5X8n3wueuBp9ieGo5ahrYA1Sy1QFxXYKx95e8tfiY4XaV8A6dK1b
DG1Qy3G1YvAsBBDgSda8gCxRCQSwiHAI0zjZlmw2ZQZFrElotFEdkXokX9y1RMVBpgM3AbmAW8pS
I9QTeGPbzCnYoprzuuNZdnHP0hOEK47RLnLZ2Jd3SdwqJlc4XbhlaH+SmZFA8TsxcWXBIyTOXLKC
VNkXPanKNLK0dknzVE67U9MtbcHXoeRsvjSSyb7Emk9ROYk560L2PU3kArUhJIh+yqZ64GmqoiO5
u2GLT4+tv0uCPMcfRnZ74ZdWdK0Z5BVx9s7ndtEP+vxFx8ik2hr9mwLr73KiXGbZTbHP7BUN7L2e
dO9CqcQqljpT8Q0oaXZCftFGj5mgitLTi/ZKI0xvtc54GQ2Gf62SIbw3WpsKnvnQGNTEYUl/YgoH
QGkvI6SLUxOF0UVDAIyTu6OJu7SoekIgMDDJqtNCAisWQRWz7Mwq0S19YQmc3J6KThP1K2ndsyB3
VbMVeoHN0DWj236UwzmUOn44EsCNzUIzLtM4tc4FinqPOKvF12OLHDyJVodHNa0VLvN58nrdafjC
ONkbS/ZkVBsydWED+8oZ1l4NTk0wKGRiOkFyFbLkevwgke8gcw9tMRRblTgmJ84y2oiZRUsLWe5d
DlGBjOE0hpWtElOAaiucsjgy5kYu8JlcLgo+VOyD2Ai9Z32kzqemHNO9F2vq2sGyRJOoFQuUkJ4X
tDejjDEx9UD0PTRd/cYhygNJ7sXta+dF9bTJWlIdi74uy53bm/opIZpMT7CXxsQYM3eyebTaOcUj
BuHSfR47uG6xBLBbSz6UAjFVxwa7WAc7bZYS3A9ZoZwVhnbWGoZKT9fuhwAxb1WcRfshTKDhiXgt
Z70Cn457JepguAf6yTigYsJ4CD0LB3WLkByv61n7qMiEjgS8Z0kErJd/WTWlOk/0ut9hbBO3clZR
dNOUnBRRVqirRGQZPwQXSuLGch+M8Yz4ox6Omzef9Wgjw5+zgM5Qv/kf4k3/IeRYs6YDR2qWd5oR
QTz/kH1gU9SnTvOjZj3BCDtFs0LUfohF4YdwxH1BROLwiaCE2MlDLEY6bk71h+hECBIBqg41xKg0
63u1FqHGjCNETAH78yFelR9ClvwQtZiNt/bGnrWu/kP26gI31NeyN83+AHS/9zbGrJV5NGceut5N
PbY9+sgOmO6+hTEJ1KGAqSW7NcS3cpbh3FmQ40st+4NBB/oxmwU79aHd9bOMN8HgznFYJqh7BOoo
9UjGuW7Ai/2aLWvJMVrlZOI4VMfjimoMWHmuzjZqPZjQRslre02/aT/URe4JSmOEmPWQMhu7B9vQ
xyf1oUra7RDuU9LGG8aE2ptu0KmXfKiYOqvKfhoHHsXFLHNaw6x4xrP4yd0uz4Sh4OapWRy1Z5k0
aFLzCGaSwZgdtCdqTdBT7Q9tlV99PfEigBw7Yjwvoehja4pA9KBrkQxflQyXbuGDV0RIPp1cL38/
9P0vOkAuizhvG3CeX6VeTpm+DmsEpr8N6FNw8v18HMvNru3SWLQUa+npnmYMKlnzm8ooHy0/u8F8
y8LqggZkk/ncULb0+2zgdfzP8K34i+vPSvLno+h8eYBmM/XTAGumf1Gak6DBpAXiaF0HWPXwweUn
3vz0+PPf8uNE+/UyPmAty9C5DvCZH3/LqVG9SWVtt+7DljNh35UhbC9Lw70fKQ/iIpZpUGN+Hn0H
Q62ZK3OoUqwDfQrbZJzs/aRR1OuUWXudxK5/Nr9lS5xv5rk2lNOjaXJQiBOHyVfHutheWrpTBP+j
x/w/6THsNQxEhP9aj7nsvnev0VtdT5/1mD9+7A89xvwN9irOU6HTYs9c5V8gPvs3G3A72tkfExf+
5B8DF3BEYmYLmXgnfMKA/9JjDP03D2Yf+o0FuwdB5m+R+L7qMWhBricc3QWNB2rem1lAnySRf+l5
mmc/BSNuQg9/ahh27jJlEYEDOfe7+O6pzK3XT+/UX3z/ICr98P37eukv3z9T0gCd6E219kXSLcKI
CE1EdqVMgm9DZXi/eNqYf6IambprMN6ybB0pyzS/EPcIEEmnRRLe9DIRh7AKWga3LgW5npls2Bw8
6qGUW+40x6yUKk7f7ZHkS91e9U732BcUxgkV3sssuURYPbMJxIAUoZ9LDx6qKkBXqCh9wRV7NHAi
rH/+Xhl/8fIZscE8dgXTOT5Q8438dKPMOmtcsuokRJO22PFMlfQNtES7aIYEdgeIb8njwMOsbY3U
Kcj4RgT2hTlWkFmRhXDdVI+JQgmQnv6kCdqlLRLPRfItdHubNTHec5SQwI/5u/Q3kRTwlIJq5G0x
7lIE4k3Vnq2wfqvls6OOAfqu0NLVRJTLVVcTCBUZxevejq6FjWNsGr41ib1Ihmjdd9kK4xpAtzi5
cqPkukynG1F9n2rRLSAeP4/xqLZEd6dVa2XuWVH7nHXo/yaE2XVszfBzQ/ZJsdDwy4y5dS9qw9qa
qRneOol+lWspHl6fK2N9Sk8mEeYXAg/ulh3iuB2jtj6aEkyfqHLdXYCCqVfC6OKLqQaAI5DZdzqp
no3tBuPKZnt0ENoQnDwvUQs2AQ2upUAgFDX5oW0K75kmBnL9eVxceDZHis6n03OOZD2PYNdnz4H5
rbQVDpqu1RncHQczGs45E4SEODxax+Aa0FXnmOqQd1xCx9Eq+tzYaFgkvtMl9D0OSYwOoFJoeKiG
jXCMK63BelpM0QFH7VPsRYdK+Hdh7+Dw5NbYzVTvjIYfKAkZ7YYskKs0a6ozwzPXY1fcuin3++cf
SJMH0A/fXs/WheArLPhImkjGXxZv+K9GRb+qse7SNEcLsxWlAGXF+XOZE63YOjy6bjEqs3WaBZyI
8hj6tTzMaUEMidFzrbvRxLkFnfgIZ8d7G2cFCJhvum3soFk6/ux0tYrkoam67swFyvD+8Sv8u70B
//+h9GZe+qe7/SeW3uklaaKX78PbW/l5VWP8P//cHzYC8RvPKOZrLkskz9TZk/BPvKyOPcnR+WR4
FgMI/uQfq5qBjQC8LKMHlkEmCvxz/5wyzDqVyZ/4yKksSH8LpvdF6Xd8Vk6XqA27S8eEget/XdaK
IYhqi7S5MwCByZqtP3jpKczqZ5IWfOtdfZU4LHSyRiLDjre0Xf0+Chz9VDQ9+2n5hNn7nNZFqluj
vtvxbLykXsPlOG3Eq4JZN3HKRixrO31sYZQvdD95xI7GEHE6MGIxF3k3Iz5IBJuDvPh0N365cH78
cp5l4ZFgUwmRUHz55bDRRgTVCrEaM7kymO4lwTsOx0uYu8u/dyV2xew/iEkY/GdGBv+46IRabbh9
lgm07blfjJRErp2mtlgZIKt+finrTzsR4bC2CQfXh83/fH2gTE48ZNoA4xUky6sbVO6S4ClO4pwB
qW/sg57KtNShfF6nTn3l9lB5WOgJIaBYbwPgATvVMYyI3Sf+1m2eZ2eajTSOfv0YasOxcNwXM1oJ
Bqcr2ym+1WM24TqNYP1BPJ04HC3I41BTbumHzOqavdVEQKN6nJGCU94KRePF6dVTVcXPVuXC2Eng
Bv/8PTDmO/f5rMAvj8TPPpExIFr61+kY2Juon2CnYA/2thFJDyMbq2UZEXgpgq1fPJaZ86JxaMB0
jQ2cRKnos+8pdPyfv5A/HVoc4RqGZVqgmYXpefMm+PNuY4pGNOLQjiBMYqUgmjhhHHcfmQMgzBrp
a9olR4FdHHbdkSnIbQGlhDi+uyXyR2OIb15ZXX0jiRCPdrUVofuiZPicTcZGpfb1L17s13Oki4jD
Q0hgJmJCySPkxxebQw3QknaM1rquJKit4uDqwy29bzeV5pyVLQb8rthLHwTD6GzjSr/XohFro7AW
ESEe2nVXvYHMRUqQLh9ajpjLDWUtfrED/dPd5XVy0MWxyfwMQcD9soXD+uGCwHQ1AG7pTenJajNk
tFRjn7kYZtdR0Bho6gOOSjaqtAWq575SwLfI4+AB+fmbNr8nnz9pX16LN7+nn7aTulMaaeqmwSoA
aTbC6Ex8A/+CtRDQE5pfXu7jmfT1ehy22TNwpwA8fPlAMSKkGTV1/RUsTVL1QNYWXks0LBv4VIgb
I0xBa01ZseoLDct45saXTjTt0TWe3cmygIQHzTocMrrR/PxxTrAwktqQvrhV5MOObBIB9gT+uAns
+MrHpkOThE/VuDp5bQPxyQnGBXg7IrbIdmC9GJmE3ZFJtVzCW8jWQlSntNIol5qgMVJ21exaj1R7
YdPxa6OYENgIrXVrqcuf34ivp6D5RjgmbSCsVZDFWPd+uBGTpadEKbkRSgn6QEICM+ej9FZJdvbz
C811LV9uuatz2sPIR2WKwCPw45VsisFNDDeYjaVLfip5y22D2YFXYnX1rW7lN9GDHAe25mrfdtO1
NZlPgZc1i74JnuvAW5KD+R66apHrya5Ozdu2rc/GIt3+/HWKP380f3ydX86FtBgwDy+rBESgM0Mc
oSW5cgl7+jFggUZK68njlz3zS0q1Fnjyz+qREJRXAnpUJLaKQWnnDiC79ThW1s6ScX9WN3UGlmNI
qDf2mFZXjjgop07uu4GsJNvW877A0STKjqRPCyxAMwn15j4XBiwwrRhTpIugEiBHB0CjKHuQu8y2
g2tYPIytfAmikmAOo6hnICn3pvKclWLn8J6VPW7fIKw3QVeFx9wp1CaJ0vufv2d//hCx20FLYGtl
8N/2l29z0vpsN6zcX4V2cN4WUGcoqo8tl7Jpc/PzSxl/dS32HK41m0QNrJo/foxGqQPEswp/RRDb
OnSdeiB9YR1LDAj3DCgE0f0K1+J01oTvoRsPy8JqiDvRGbMYWga1ajIcbgpkB8OffvHi5mv/+JTh
4IvrBQ+pz7fp67Yvlb2R2SBnVjJLD1O4cW3tqKq7X7wDX3cqruN6OnowZhKI0GgwP74DtZmEXe+k
4VoaVHeN7ribSPKuArvdqjianYvdNVUl5Qu1j3dymK5sAAtSL7BRCTpxK5WVEOjjHGTiSIOtHZ1S
fC+LOnDFLzYUf/VKHXDWNCUJC0Lnl4dLSy9NCiQtWHlOwVMlzhA/iNFGmEtDnTSWE7kbHSeqZ7a/
WF9mNeWHO+EirzoeXU82q7L99WHTe1mrCrq6VlnpQs13ecTAz/ILYIvmNRb4ZUw76C/uy19d0zFM
HKk+KyyThx/vi59N4I4Sm4FmFWwxDRoUOJTjocSgsjJjtvYZWl7S3xEIf5Gx82IqM1oG2jdsWgyT
taI498b8XbrW3ihoW5a3P3994k8PYA9yA8P0+SE8w77n1/9pzR21yih0s9UIZHSrWNbbwA4omuLr
gtmevFKi0qPgQzSM5ru0o0OnnOemqIGROsFTXalyIR1xjd31XUbRJoOJFPa49LQkvhywrJQR+W4b
X4dfFq8O6y2c53DTh5oPPCDZqlIMB5lYVPJi9qB/qNokdvM2ZfptN4knknYrcPqbvsayEQbDureg
Ifz8HXDnVf6HT4Vn0keFzAitBKHl6/42j2Ps1kbkrprevTUz+0p5aFk5HJeS4dwy9dt63djRWQnt
e2kE/D8FNhmGIs26DZvrth6usYGyGDDRR/QW5ChqFnhXX3iZ/uhWDikuH4eWYdWnsPkotebhXQ3h
piZ9unCzBL6LGFZxELx4ZOXJa3k3veU/GWZ8ZoTWKknNfS1ZDSSegkHHmoup8nsk+xKgRHVed/Gq
54UaenaRMmUepWQSiM41VvYLtRYrzbJCIs/Dtm2dswKjT8UZZD0CW1iAmlQQ7ywkGauCDgXdVh9w
J7R0n09GMm4i0SytEfIFf3Qw7fIV6spFkcLf9tdx+/aLW/GnO4HXkEO6y9GO8MrXJ0Pn5EHuVhb7
MaoKQU25O6xqmIUMcoQfV/p3yyz/jSIY83vG8/TTG/4nCYU6gpfsJf+9sSd+Lb7R2bNvUgp8ms+S
yj//pd9FFd/6jbWbRjhSdpzsmVP/Q1TxGSKweeOE7CO22e6nzh6DAj0Mmix5PPRcHJX/l7Uz240b
2dL1q/QLcIMMMjgAjb7IOaXUZEu27BvCsi0OwXkmn76/yCoclNJuq/dBX1ShCpKSTDJixRr+gbD3
d1OFIQK8QeYHHj1jk9/4t0YF1kVi5pOiQnRCMoc7wyyGT3sTv9oWg8gymZp9PALkT2X+UlQ+RA0P
rckYcOOuXLLXzmUivgTqBYkw9JuBCTCpBhWApvyq94t2E05QMpBo/jSUGKn84yHf/xVJ/jRS1LdI
zwnvEDqS2pfh4hbtIZSmpSIYURhMMtNzNPGQZT3HwWkA4+zY063b9nhVCpTKXXD7/183QA4meFQe
Ye7tM8I6pPJHYCP7MOIGQLIMayote2Un4RY1I+wHwhDl86C7QnAd6xyL+/jzLehT7h8x9vwIqIdN
y2HQYfqX5oItgmdNlmc1qr1Q1VFPeuxjTMvq9zrA54nDrxdyuYwDaYdewduvCiio7WZg4vuiJHZ0
URfsUJ5/LpFewXkb3QDUwEpArq29GsYRlCu6PydjEg+yQG4IPi9WP2hBfmtTOW6bSZgfbIVLjN4X
+0BOzbGH4LtvckdtjQr/MQVuYCvdCkeefui2XhVh09iL+9qgGRKHPMi5dr9QRR/NBjgmGp3hVVRg
T0cuj8q5XOKbOXxaoDwy7qBlYfly50zjdAsI4tWyF7Vth+ylMICkZU14u/jBzyHOP9iL9/nPb+gi
T+ENnaswemuMaR3apG8fnLcUgK0SkLPSDrHYnuYvEDY3vtOgFyUENKM4CpBuGIJ3suPLrg4XdnA4
IXv1GB3qMPL2wnkVeBV8wXTvt1j7+h3KTJ6/dAcBTBeVjLbdJN4yrPHvw7x6ZkMXLUhSzy94odkk
tlmMqb3fBnRL2VNArNUmCD1/VdbjvM9SJmo+4Gu1YmIttn9+ZpfzBn3vLp2DgLkDub13WSebWBgN
sxdne4hoxaY2pLwGEIwa9hB8gPxfbpUHjLQLu/y2QjR7sK3jqBCWygLtaOce/wpADma68uR67rTy
295eAWVtN97Mt3EzO0Facfn+5/v+9V3TyuSoZfQLHt+5rEhA5hgmVuQQWY2G5opDUKC2gBSpH3Tj
VgHOAxgqGk4m3pnQ6DL57fbkyo6GONBJ/BV3AC8/xP6qQdhoQDR86AN/FSRdu/nz9/vdVXRlAW2Q
L0fAebukigzwuVFn2T6evWLvNbW6goP28ueL+Jep8/nt034WTLwth3n4RSEDxc/zyMJACorsNfRC
bIndFrB9BBZ85WkPysAYOVvIwSDYLeoql9mrFaEFUC0pbPE+5txB+dVyYOUg8Wxs4yUyD1nLIlfp
KJASwWbDLvxHwzXmHZ30W4HT0zEZe1oxE36bg5UFO+xVum2CfCD8abk3J+KbtBAUSmrsbyAKIk8f
S+tE1sVooQfDH4T8vVP7wDsXRp30BfxVPU2GliAvVxW4rV3RGwgUBdC0hGg/TUwT4FAxfw279CVf
kheZ2g85SolXIdTplYOfZSN6fDj7GGhjUByMCX2inoHKLgMN3EQYQfYlMbe2wR2B6WfBaRR4EbUQ
pKvsxR1Yg2jwP1FQLLshCx4ZcLACO8V92w9FEoDJhyoFJ717tgp2+6ij9wwH+XM1IfjtGEh8QWoU
a+VwsSxInW+QnQnLwkN/Hf/JNoL5Zteo0ERuBttKyK8FAsvrCAHADzRaSB4SKBQuOrMIc6evVsyX
PsNjkOmdVlHXfaDI/ukqTs/RZm4zjsN68AncY1+1W8UBsoG8AJKzMZ49s2o3TtgE6yC2Idyh9YdE
Xhvv2GKI6cnkhfRXawfCo2aOipb83CEw4eQnmVUfUyt4rNs8Zxti56ZCrRCNcCAHy+CsM5tXg8T9
Bxc9RqQ90b4ZQDh7xUtjts2xBYm/MjyKkwDVJOB2GnZfp8jJZO6urrPXImjECgwaWNnhesnVK7ap
wX5q5xbdQL5oO+ZyNdp4cbAC8WX3N/QcblHyxz+15gxQNh6vomfqjU4q4359ZM4l+ZWyuNQ8qFfM
a1mxvNnZi14B5/MjVCo/DYpRfoHCMfLJecv0PXotUebAiIlozTTDR9cV+TMsG1ZA6BOwvfkLYvTZ
XQ9tGIV4w//Yimy3pPELXKLyEM9mc+2G3qPZoabXkJ6e0Aglt9IvhszgtnWbDk12Ytp57c4gmEHC
BdD2wqwDnZq8+EilrWRkP9jYuOyRtHzxzSHFbiB5sTq2xnnhQgFi4RfTzpvAoVq5u581Ki8gkYlr
9F3PWyBnhTG8eIBeBWlhIPl0nGpB2YGX1Sc62zD4vDKv7JUfs4JQoYSua7Jdqr5EKFwM8Wk0Dfyq
xjBZVz6LtkTd93zj3C5ZTI+4CjTkeY+BJeABCbmiD0bU9DpE4+tqYqt5cXVTBkG9BbyIoNgcqO1S
I8PsnokUoH6TjtZyimQrEFZAFwqk+tRh3ZoTwIxWBywPv6uF78HSpXmkXzAqxg9IxDyXFfsKBcfX
2uWuwzp9OYcL1EFeu4k82ocwuCrSiAu0LiJQ2pK3cmc0GuGRrPqRh0gxQD60kE+RJXurQVoHGjYI
UJU+cic1UYlApbbuUj2jUH06n064PyJOEvEEGNCFV8JNX1EID++RrKbb0CJE49Kjbtqi2slJQBEM
fhQZwcQWrNyCpGsFUu+pbYG5OQafO2gGpFvykia5b7zsBdmsczibKT418+j2HJR6NM/Xcdc+pxP3
lvQu4GJ3OdQovFHvgOLGeQZly/RlNhJclG1EGnCW/7uaiPU56mLnBYqPxVp6t+dvCGr+VW+JOpEP
+ijwXPHQVdzY+R1UIrhNGDauzAIQqBpPfpRK3Hb0sil8XDYFE4HSap7N1LFOssFCuIqybYOexaYB
Ov1XpPMdgomM/cdyRtXGwXqahmAw3rX+3G0ng/2bsjO3EB/4K98xDplqw6tOv53JYOWBmDgtqGUh
jMQ+xPpoujpHYsgkJGJulG3wseHMcEizgCOD4oCnhIwfusXN4k9YZfFTpGAmVn1f7fBLWVAZzpPb
MoDA6UvYJkFLRGAN8/H6XLHxcVi1OnlWroT4Gm7nWM17O2S8oWYepF5h08Jv0s1+oJVU7YaFVzWW
LDqUwKp1VrGscm1+7A+8GjsgodBvt02b56Rgh3uYUa2pgop9HfGBNaLju3P8zXR0DGukCgtl2Ssj
KOk3pOhJ6DMOxA9CXjGrWvZsIA89HdflrkVNuNEKYptzOtwnKKX1yC3dGGE2PyEPS/cIC62VzbB/
ZU7q5bxWii5/Sf34FUmzx9CEcaIknkzDwKPWp00YEBdVxxYI4encTJ6rNq7BZMEZMrFyOtpeUsAU
Qraw3nnDEvFum+R21LRYZrbk59Lb0bWLDxmE+A3HSX1LlKyvEyfujnh+QbmSUJ4mO0Za1VoCVNtG
f1uWuICkNZO9sh3nEXk+aR6aaoleYm/qG9JpJ9kNVjVAKU4ALHgxqcaUvJZ1+YwoabebqKy+G4Fa
PuJBAp8Ix5lNVHUf06KOEOf1k40ILevZdCzI7/lckBHbmCr0Vgg7BkXSKMPOBdc9MPmRTg2qoTzS
fPYgCuVYzyIot3bGEHrGXJeYnHIsqJg8uV6aW9uKnZ0H0v/KDKKX3tAa555o14MKbQAOS7tTIJyu
F1w1VlVBsNdlHsQotYktOuMc7+1OAo06BEZe3yYSn5YJb/H1WGZ4lCP0uQZ0X66mLHLIUcAIIZXP
yTvzxAbR/EwXErZukAi21kV2MMOq2+KxceyC+jmDrrGCE7dgzeKON0hHQin17XZfIe5JE9cJuTyT
9EKbsID74rOXAi0Fy+px/5H48A1f0Z8bfyqoO4e89kN0TMMY7JX7vULROY3m7/1E8ox2N0HLQLWo
xKeCERBaq6wG9I0Vsv+uZYJsQkPQpIbDak4k9sFIccyw2xGpYNxNSZ7vkbZYG7g0cBz1u2jGbNyP
eKdRfGOMzXVCw5xFOD5Z5njVuEDV/YRRQRAYPyuXxeeNKB+JyRJb1RvfGPHAnaot+9gtzgPMGgGa
xTw1hq3QkydkmmkPXTPB7QUVLnPTTjm7Vlc+yMdCsIR1QrBNXq2pDNBmJH+yQiJNWcTzk905tX7D
y3rMOIGcwg1fx9Qo12gtZ5+KuneuncV8PgMLDat9LkJaHLmqm+/REiCGC2IZD2Ov26uSJDhG7Av9
KTImkxoOxVZDELh0HHcMddK27ehV4QFiyW5rDGUA97bhr3RFLwOSO89mm/q4uHDIWA/2hL58VsBl
aXLWbamXKAXz3hnHFyR2/b0qhofYZ8WEQY5+T4GA/sJRoO9Te9RbdB/2rWtRFnJarwLS7N6KX5Qs
n03VaxEh86Fd0ELvTI8VGrfTlWXFwF9MDzS8F90X2XiqZuiDLS10c5DNdYuA81NvqC8pZ1oE8rAW
c3A1NgQ10D8KNUjuxierWrVBR3atw+mCMOeNQuFgM/gd8lzSf8Qj/gXu2okEY7pfvKkhC0RNrCGv
gVl0QrTUpW6EONyJEcTjhE6CoE8v0NbsRMZ3TRr3FqmN+N5srOpLYvLsC9JkxJq8Y+awwvBQMw5Y
LZQkWDzTPMPXPnY8/1MJxfA6MpLxMa8xwekalpvQzaskwipFqXg9+8S1sCXPga873RqGjcq+G+gg
rdGiw4Dvg2y7hS9LjimWodoXCSq+KMAessjaI9rSHpEeeS2M+DXitG8azqG2kLdoXZib84kOAwo1
etKdWq/ViGVyGzpaxZOcgOJabFMbPxWDG4YpxJlZzCVIeV21IFAxreB+q00fNc8l1Lk1Og7jXVSx
peCi87KLrtgz1g6vZjqTqLVn051yO/Wh7gcMFk1ra0QmEr4QDnYZFT0mMazJpiuLU4Is6DpwANdG
fmCdEIgn6gvW8BTby9ccm6MfTYIUNV0L3PMCsAmBll3rDVZTALXjWza2fEqTv5qLab7k0EdOGafe
efVTb247L02uKFZfaULwrTL3gz8l0FjFAwY5lHohJ1daGT91o0o6S33oo2C4kSgnoeykz8CI9dmX
wClbciiCQlQ9QEXPOcyCah1bRroWZnwL7cxf0YxUeFMLd61kd2X0S0LEra5RE4VqU3P5OfPJV6Fa
rRJD3GkuGEgZkLK4UlubIKYrxWrniMMpaz0UzsP57EVPr2UlhY9/Lvx1Q+qyh8GMwtKqQ8zMzItO
WS96s4rLUe0d/Zh0SeUg0LhibgprQzoPuIe918GVv+toMLgEoiK4onnpzD6kA0L7mDntjYI6l3kZ
shld91xX9CFTEwL2grstD46F1S2QsmOR90S36pOsP/t1hTpNYhE2qK11ZtN7prHFmv5RDdG9KaYF
GTrPOIis6TfxaAKZRRLLzY0WkfqOnLuLns6903NZxvD5R9Ll8as7Mc+XnfsAlYm5lNFZ6PLM05Vb
TflJyxpQB+k82KPs6mzCVuMpQUkvSff0oOlc9/Wg4z/0kBARSEboow4Q19GJZ4x7rUuZvZGRHx6V
ZU3/fleeIQRYMugP4FwgLrxtEsE2ivOIzbkPW6oc3xvDq7anCeIK8rxcyU/JOdYzOlirnh2ObGbw
Tlf8N304P2B+4joWjAlayG9vAV6AFstR/T71WmfViiU+tA2pWexieqjQrQb1NZiQ8xL7nQ6ZJX5d
xHQMtBKHTYyiffX20gQT0OYq6Pd+jW6S5BxBNtiwPiQjqvXOUlVfe7zftjhiQGLERK4c8uFjgBju
bE/W8583lL7WxYaiPwqJgPGEaZF4v70Xu4Ct0NCUwoXK9rdZPfvbOuK/rKx8nFqs2zHFGDcFJisH
lJTzw5+v/putxZyAGwh8XgWjrLdXz/mGdlcY3b72ScZQJMZYkYLineX2m6BBl5lRO6Sy34ypOE0F
ssEajGHBlOoXuPhNOn015va2DbIvcwf57c/fy/rdFwMDzSpipk13/+KL1QXYMMw8O2Qw0vY67GiY
J2hBH9mftHJG/xFBBVQOTbpnwo1e8imb98NkVaspqnvMDZMfy78JCdIdUz1HZNzOyqMJfBE6gWE2
SWBWLHiVfi0rOf/8K/lVKBuU2VTfvvMI9Oe9XVlSEqSB96FSoQeRb99tLzzDDQvV7v3Eu21gsGxw
PCy2ZejANydrhtDmfnOy9Kky8yMukk+NNnkYkvGmF+pH549YcctkeQf0dok75DFIBF/An7DabMu9
RBzYPtCwyIvafR4M9Gkykme3Zt8jU8GRKcSxL+tTTJPsM5JP1a4teUVGnNPSRY3ZaiYaU+RxyO8L
AbenQK7DtW9Hq0P4KU2/u+1BdiZWXw4pCOoAdms/CHKcPorRiIj6FGJOtEWhPl17EEBQAGa2pKeO
iFgglWXi3uMg2blubV1bm6ZAi77I1+hIaQFhWll6bHc+ZVIMYY5/fmWXlCKejZ4kS/AoLiqx7uU8
N7CGCTyjqc0cKRdmWUNM7KJhlY05fTH0BdaoNCS0DnDy7YbBPH9NWqtYEdbIgPgerVp0KNbI7cKi
NXtjK02mRIPOm3EYRBsFHYobWhJgm3w6ocDv3zutz0Dkt8vOk74J5MeGJ2eCLblYdkNH0G1INklK
oazi2rqhp4ZHktc89wInn9jNT8BRGtzpPbAyWQIUxKzeOV1+XfxArOD2C8Hk3gTG/vYu8nSxqwEg
+r6amysx8mAEKyEpBvedC4lfI41mNfgBTD3TE95lpGEKEtYCz6J9WNAVTElCLMxndkgcFK/Z0tLh
8OhKJbq7XEP9wf2r4WZ6XLLQWoo2YxW/AMV7SUbmTV5OvYeSwSvPV21LXTMWFO/0t0+NzWzezmjD
GSG1y58X3u9eGgM81JhgVUhghBdzSNyofIGWQrWPWyzGBP5eq6aY0LtpyTonIO9be+x/6HppVrSf
+jp+nXP/nYh1gWPUqx9YBPNEYO6O/AXNkIm+9SrLqvamU/60g7le8xi4WNaI9Ti/dzVxAf46X84G
kmiip2CZIKDeLhG7tMATu6JifgkcSWERi2mJe1xagd6DFaGr7JJQLwhMrfA4j+7ypXwup1Ld4DJO
V8CMXirfmm8y0LmHgcJ7pRxFZY7UB5ZY7XCT2uM7NJNfz1GkoeAakp26RPRLIEEjJw8tAbaWZ+AB
jDw/8CZFB6I3qZ9oZUMsNLN3hpa/yb65muYdBKSLUl7upIzUYSxrPAKQRWYJl7ZDIT6h2FM60yHO
O/qpGFlR0fYIDcfuNUpjD+eeIf12Y4uHmLnB+i/YhwyKNp0aEA6RNpr7ZWTtalLLyqbEjF3Kblt2
z2Khmjj3RAqLwkkwft51no5miaRfq8cveM8mCEYiQ5WXdnxwcBfbR/Cn0MOxn7JaLCvLYKhXYU6D
aWhe7WJPZ9bhiJiWnlDCd3o4kyrPs40yc0wUDYPvuhJ2k47LTSYTivCrbUzTuqpa3BcXluGfd9xv
wwZcPQA8zIShxVxmAz7A1MYhbERzF9+rnDGmlkXYCel0KxrL6DQ4FLlJIF5om9PNlrzoYqz9DU7S
2bZwG7xiEY76K9bnAueYZEbPCOmHSm66Tnw5jzadygrA/OTNVc64+zZOeQl//ia/JrA+8ZXkFcSJ
KVATf7uNmshhBNt47b7wOIzxpS42KOGwJZx4uI6aIF8HiHh+cfzQ29jeoN45MzV57SLNgYwNdRHM
C1gj6xJCEfiTCsapKPdmxhStFM10j3RMt/WRlWbkGTifEILNwV7H6thb7BGF0OZ6MuhjI0RJEaeQ
x+pNL0dhmWXK2cVECcNThH+cr6bVX6kZF4iW5ut5/kBrw0LVieF1uo2htD3LSk8DJE32lKbk3sx1
j2/S7dylSh6aenQ+mZncVGZwagZkO6S7yN2sMS95FLzyD0MPFGN/Om2a7QsfgA36j+KdfPg3mQVQ
V9+COBYgKygvRXwHZnVFikTLvmZIcR4Q4GrHSNhiIlTh2rRdOnwMI7UcJ1OZK5S26fsknxgeVMfz
GGYxe4BTTWCvOa0fMh3favfRSZeEuXj1pWCij+saswgMZuf9n5fYr3EPlCoZBfvepGa8rJF69L3a
nMbL3vCdPf71zE0IFWqmHXnuRmVh/k7UO2Pm/5nFwHgkDtgUZfDfONgvDsTYQnmowYh5T2u7Ws1V
560SPbk/z2La8+vtGQoNxBeQHIBGej0GHDoMAOxy6rdNjbqIBMyyAqrxXvC4PCjPNwdeF2IzJyB4
7rdbzp1x9DZUofZJXNu0BrkH9LeYAjAuw8zvPfzaby6ntzhIJduimPjl2FGVRAWpVPtR6lXr5afZ
IKFyWtYOteN7GeRZ4eDts5cOEQVEJ0A2MMl6x/8DlR03A9PGJsE2Jo7lCWMSh1jYeJvJCXaMmjBC
GRUZSVIgZY66g8Q7aAwPlmUUt07peJ9HJw/uUziirt3fta6PtozbuStnHOotNinoAjLSus78qoCE
irpZ1RXJqbARPg4H3P6SBS3qNuHDk6Fx9ez6IaEdfkx7OOFl2tYYwQm4K75fHahhnHhtlNARnUgC
g0Z77Dghe0dHst42Ue0Ae4/sK7AcBhMVdYeru7OmbLP3nrB5hmjdntzaSDdhqqK7gjp5twwGBtCF
jzRJzA9iYbzgoYE41Fj3DzOJ2g5rtRRJGCq1sBzQKyGjoyPY0FZPmFNr3z37CoCqBAemAkxN8rrA
scVJrvq0GUaQFoWiZRXae9ur/UOQcA9GFUb0dz9WnXMXxYnYGHSHr33cGOjFLNbXs/MT6rXynY1m
XybqiPiQhAlAtEQlk3r97csOIiQ6jYxTHgSFj68Ne8zOQI0Urclkm1wqFbl5V9V1AXVmdNb2MjuY
0ugXiGzRxm86l/kF7I+Vh13OJslwmBCpDXUNySZOBpf+zuBsZ8NPN9AqGYQXTbFjiOCsdVdi59uo
ds7l6JwC/fFp2d11sXiUHmiTcXJBksje3vZNXhxE2vrvdH8uDy9gf2wodjB5DIHmUvGGyGlJu1Y+
gkLLvonnFS2idzKNy+B5voQHwlAiFAtF+eIBU4VJGgGRD2AgxeVmoBc6NJB2VbUABulAvs+G8V5V
dJkUcFFiJ6w2Ouw6bFxEqMhAiM2NGw/DNg9zowiqSbWYNWM3ZQEYYKRn2LI9lo2JAUSn2nfaWtZl
bo94ik6QYZrT5kRf5CK3n+sc7SZtGwbnGw23KW152/aySVN9QcyTjlXQ+Xui3SNtB7XPHHd4+vOh
dUbAvQlj+h7oVwtqGUC/GiD+zzDGtmk80RjuLnUVDNO5bg+o6uLWjMQKTldDEkC5Mdtvk7mEtzxI
57acQJ0WnfA/omq1bOLBww50dNJdny+IqLWCR1m3ZHdxtctV3HwY57k9ysbj63Sxd6prxz151Vh/
EhGoBHjUVrIfg+7exkN3FePo8E7ypUWI3yRf0CNhhiM6gU8gzbZLMOUMe0T7ebm7nl11Gm2oMWYV
WesAdb+r85cI+ji7N8fI0xJ41prBIzqsi7lsMgvsyEIKtrHpRaztOIwOQRT7GxyHDfa12R6nRbxW
YDEOxuACIcN4e5NE9oNCtX5bNclwtSxxe8hqF89muaCLMnkDU+12a2i5UU2v3GZut4DwKfWMvTB2
OS6KmyZEVLWK8QVu6vZ24i+RSh2AWMQRBq+YDrrhmN3PS/VpaVKbINRfybHnZvHn0Wqsww3uiN2z
URY//rxk7F9OWh4nHXEwlR6tYMh8b5dMFQRhslA37SLV0DvpjWbtpQMG8+NHOP8h8jYOfO0OSl/i
zuFa0PFap7LyD8pHGdNI6F4p5svQdthmKe6B17WKzG/1nOJruATLNZ/inoah7JkIO8WBRlK/4qG7
e2UO35e0Cq6p8kyUD4HsSWi6u1rU2OM1olljMfypz+Z+hwvnY05DeqMWnNL+/AR+9wAYLjl0btk8
v2Q26MHGDNp4AEMmX4HM+/f6hTc9zl8wc4Z3epHeL+EXhSVpA7OiHSkC71JNIe9puJh9R5gAE7SB
0Bw8g46KcfYrcINEinhnm2F6G7tdfC38hl3bkENYo7VspqEmDfXHEF+/4fMQhKcxcm+wBWh3FlCV
yYXtmJZYPLA4hxTcJr+LXYMWlw14uA1WOxsxsiTJPV/Ltl4ehNZOtbAh/2mVZXtADNFiFjUVp7Q1
3a1ChnIXg+t+Goes+cDUOtxYIh4eKhR8sQ8FbKAciz6Nu9TbyCA/B5EUHBkrPiCIjw2Tmln+S9Df
5G7hnRooAjejSWxpK6V2rb4dZnCY5jX58CTnCE7cQKxEKNLP11J46Q5TTZZSZ6S3wixNhwaR+RV5
4Aych8VMNsYKahc0Ob1TGG67mgeJE6jlbmMaGqRRNMmWf3+1sEhoKGhQtQ71b7dL67qZyiOgnX4D
siSVPL+mkkTY0ik3nizTd6qoSyI0RpkWHSHOEyitHC9nPYF/ZKYpevIu30PurIHU0odB81VMIyNa
tlVIfoe6T18iU9mNKIfaRm4AE6vja5RWMe1xkmqTxiF2EFmZP6GECvgo4VBQS4v9tY+H+E6MFWHT
5eE3QDc3ZkMEQ9wjXVuJn65xccWAEH2UaY4tkC7Ox3Gwnx3Dwt868D6GcfKDSrxfVYwyr/PO8A4R
kKIblJH8+45qZxtneIIGQ0azqIgrvKambu/Sudo7DKR3jM0JwwOXxErQfqfD+OvGZsQHIp0Ui0Jd
XlbpripABi+l3GV5TgJScT1gcwGuaol/iBccEP8cSKxfE0vKNsmysCh4GVUHFymID7ytFlHk7MAx
2dtkBhlqWb57SnIGUcVixtdTgJJn1LpIefTNAZF4toDCGKzMebzeWDAKGL0QD2H+K+g5qMyBXQJr
WHuvYvlU1XyVxC2bD3lLuJaFPtxl2HDyJNm9LMpvs35RUSFx6RDsV9fKvoFfrLfonhHey8TYRPQm
H0ufw27BLhqnEbVjyvBalxBzl1G+Ki9DJIV7N1Cj3c1+uFzT1xJbq59orJTNY7sQJiyDyH8+WitF
qtX4UfwMosxGORfAvQXIF4wIgSgIOCVjdi8mdpl5PXZOty9dfZrmCjB4RV6iEs6ZHu91zYVcNrMg
9DZ5P78UCytIDYSIpWaBqgZdd1DxnD2KhY2AcP0pQfByx3OzEazlhirPQ5em4KwPjJgpwFxPf/80
I1RgVWjsGs+gmsfuqofNOdbriTn/atanbhqL9ohtqEecIdIm1kg+0E0oq1sTlsud6d9YNdP0HiXs
Y9BF/qFFM/OmiPkVdOMQrQmDbtOWgL/BfHd75LGb28QCRVR0YcnO42sa0kpvBwNj1Gqw2m0/l1qM
JAyOuJry7DLp77PFfXJn73sOXnetMkccCWzDCU6NvSX4a1e62d8PdUbKkpBGnyNl4PL4QJpyBYN9
VgVkOnHO84+xMaFo53WcV/v/NaPzfxTO0hf6XjIKSSJgvf/1n39fWJMo3/wPNqSEuIf+ZzN/+Nn2
Wfdf//mXuKf+zf/tD//jfyX0CF+PZPN/1nlcJfG35p/Mzb/+4G+FR/9fsCIllkk0SLC70U3Dv7Sw
fPtfpKqcejqMI2ukeyd/a2EJ719wMumsI62k202B/H+0TeH8i7+AKc4sSZ55oP+OpZbv6p7oP0oD
ZLRRPdSUVfrpWHyc0+p/nCM1u6gtgtzeV5j1PKYAjTb9HBdXE8TNzZBOPSsq/xLj6IKNve9/Sbw8
Z83JHjs6/uXsC0ZfN3HpqM8Qz5NbEHXuDX0mLyRn7sAHtoKsVaPP3M9iGXGCHcEwnUIVa1xxVxdH
FczuPiKj/gxGo3xdSq/7HAPKw83dFt2d6xnTPa6YyGi3prF26lLtRtMXVxM9zA99O9bXTluUV7PF
yGaFa88xGmZvIiMxtKXnIpzrCgOF6zQLwJckvlM8qiRczCPhxbg2Uy60lk46YHXsDu46lnn4NJVp
vc+lIa/dAAhonVSYRKeGr/Dl8ObkUzj55lMoZw37tyM+m0YbnfospckWZYv4EURhphUU8vKqaSf0
AwdX3S4iRTcobfvkZOYpeg4NvIsVpWEOxN21mwcDyHCA31QyPwTIT+/w2CpuCt9Rwwr0IQ4XYpA5
5pnd3L/iVG98CG0Nsc+ScPxG9Z5jCGhgAgysZ65v40lJ3IhNn7ED4hE4+UbxoEAvzvPRRY1s1882
BgtFjYcI3UUbe3WvPFEKy2NqWVg452Ssu9xLg4PoESgGsvwadxlzUjcmQQCJ5jQHen8QVcGU9/56
6kzebtwHQq0WHzPmFjtKrLMLj8TBZHxOtv1Rlqa3G2y7+aGhFglPA7xJb6T290pZ4xerG9wrzHWj
a4ml24Prz+JppE1yoySuSrgemp6xA7yeot/SD4DYlIOjL5WJK6/wrZ2B0U/BXVMX1RZN6iJay9LJ
r+aBNNOh6XwFWMt8WGTlXdtwOLaW28uvOc7oVBGy+0hTJB4PpUjNh2Qx+goHZrzoVqnEC5yUL74D
aYvTuKf87kY2vn2SNe4fpmWIeRWGZX/sW9SvV8XII/UbF5N3zArwA416WE0qGKZTOLYfQbqEX4Om
ACemHOeLhx3tNVO07BCJRmiUgRWgJcCDWkmvAG5fDfipYAGBFg8fkmKTST7rLTsr1BqsfrvYx3Zo
IR7YmlGQzEPzQTtH0HZKtya+BRtZ1V+rKkfOyS3zTd0NxqfaaaY1wPorc+Lo83qOITk7d50Cn0v3
Znf2Ywkb5zOZ3DbvRbsrS48O5OLFJ8f0Rwy66++W0dS3nCUf66Z6DRJcTULgg1nQQ+pBNwjk8XiX
19HGk5Wzxs9sWMGF3JWJ2+d3oYTNBSbNm9zdKISCtZnjX5c404xZdrvsJ3P2OpCcoLBJPTHssEcC
Qh5jxQU6FolIx92yDYenInCKG8OE5ovwJyYWTtf3D4hihNEK8GjD4M0EnbiKjMn/2qc+0PHO7wzG
Ll0Uf1cFMXFDNBHTtjSXLrjyUeaJ93bPw1l5eG9MO6zMuUn+SJqr0o66kJ0w9sZplIDC1yMUoR+J
XWCjZZE202ySLItu2iM24+zNwTERKa+to9V4C7BT09znkZNjebaE4ZPHo133TLxXI13anR8BSt6o
eGQ2AwuYFkva9TvExZcb7KjNj36K7Jdv1S7Q4aQZrnMhyqPtheo+FH64M0njXqtkxHvTUFKQHXXm
vIPtMm3hwIxguzHsWRX20H+pnMw81KgcRhgJqgTDvKTe9aWKqB9aT9w0EEdhhATJIaij5tkRjVyF
zdxsarxtaF2U3RbZ0OGjmUGEMRB8u/Lyeq43IvW8PdBn/BrCqL2nx8Woxq6c/iWaigzWYHBY8NDA
IHY+dabKnhsRtVggT4d+UcbHvmIoh4K/+jDT575zW3O5E2BE9n5R2PfAXaqkOyL8Pt+bXQKlwbOH
JwQlByrHEcphOnn1EQC7cWu2hVld26ymO8TaslOKfSjdaRhsV86YfQlxRfviGUp9qpO+vOExqwcM
KZyvnSwgfNSNCeCgzgak5eN+PqG7x6SZRlaLH0lnb0cfTlWLmtsNXPFi2Yxhn2ydoL/O5sVZx8sg
AZMMy3XDdA7FlYxXt4wq28GkWz6GS0cLAxdA9dkPJhu7kqm7y5mwXnlZ/t/snUlv5Va6Zf9KoeY0
2DeDKqAub9/oqg1JMSGkkOKwOWwP+19fi7YzMxzOZyMnBRTwJjlxhqTbkPzO/vZee3aZImcKkdw0
/aizuDsYfceHlGtO8iBtwbds+d1ekli3rArMrcizaW8aFWWB9AXt3Ehw6/NzcyKvKoky0Hvdou3T
Hnz2qEsHUyzkrh943FdNvTVSw91OlEbcx4FywI1obLZoBoWuO09iF9kLPjyK5DOe/fmpBf92ntkE
ZSvDq81jZdNJHsIlNw6cHT7YJ8BfNIbsndwThK65TKunEVQ5GRlGjwLyTuOdR9h2F9NXE3537q1O
nL9Z1OfwNc7Sm9SGamJVCk5KNEeC2MAQZF8H7qeoSbFOkGsSRXnn2b7RHoY6IaiPnA9bC3rPkdSl
+0XVMHzG1PhourKcd0lE24YnpHX1AiU+va4V28Kl4RPM24hBWoHNYBsTjDTXWuYXes6HR49bzVs0
egk3XbNHrvLpx7JXHurWkzel8lNaMgs7q5TrPMbFDnzdeI1pDnL3TVpb17auhs3ITXREe16ywOlx
rpz+JYjEeyDUnkvLP2FyTHEksCfpNbEvauNBn/mcp7QcjlMd3Tg4wQhp1GTaumHmbFpN5gPUvwyL
fpA4JxIy7kNPH/pKU525S4ugPUD7Z+hw5ky9Uy14U05UsxuT2RzMSnN2dcrDdFU37HEkUal14ZjD
HRYtxbwHrDLOrWBb8Ux5KjHOb425KUmdGs2tJNrzhEKvcSINgDZTYhVWStobr3S0RwhXm9Ge8Ojo
pn83kG26aYDnrRIrSZ+NaTIPPUe2TdMX1UfRpCzuMlVsBOPWns0lGpeVT9elt+CjVyZnMjWTFxhc
d3poYDTsu7RlMDHVnlbI+ByX3bTN+rj+GhRqPo10oH/3cFyHFTTrivKdU67xuC/M2ninWLInl5H6
HH3GXlkxHTpacpJ5JGwmyWykh0gfluoGAYcy19wb5DFuJNSVvuc9nSwD1VsnEWFIHQiV3tK9U20N
lkJbrzUy0q9edYEpSLMy0TbSMTbFj2r8oBpD3SZVfdP5Vrs3dDwOk0FVmt8m2QqMdXau2wIIQjec
GTqTdRoU9lX2ptxHFbf1UtfsbWWx6/WSM26Md5IFH/gmrp4QapuXdJ5wBSfefVlVdHvUlW5s41o7
cU9EPjVlGpPR4L4KD3os8FaiFTNGBPV88tx22FpTq91DLrT016Gafe/YR2rceZAG+Oyxn3xnyCo7
0BO58YWHVL0bh9b49JxB1Mc5r5n9Gj8LPgjSGIi/DU8jRSTpgeOph1m5my+60i5sz5x7hsnpmAZp
vLJ0lZ0VflOmuQ7AmJ+nyRRiuVEU/zRwoCU1TPtcIUMUEt1jaNOT5VTuDXcE8l90lpxdYfYNHgUr
ean4F2czx68bMmfON03rExqqqPF5lUzWD+ApmjPXq9Mxe7XTtqmn/o4WwWRYTXC3LkhULTE0t5jN
TcSEu6bp3FiwpYV8mPHw1ZtqqMRrkcX52VLZrIdGbjo3oKaLdZah4qwYVqlkiIVb3mZm67ihylVE
L5UzIH6SchLzRsx6SVQuquJnPYuNU1NVrKZj3daOwmPEsEm7lJnMb3oWkXLdqvxi9q535wvdxuNG
Ms+jN6bIP/wpMd5F1fkXF0rUaxcb3QGbsUa4xk2yMsyhXEApK6JuxHcJ/GZddGPBUrhC2YlmvMXQ
v+MWelgzbUYcunBMS39r184uyAK5dsuqyYh7B0Y4pVGz4671Ro14S29eVxKNs+Mdu+k8RAffxaa4
NWvne230Yh8VpXYYUanDLNcO5DD2tpPczPSLrXraKNYyFe2DPjTahuhvAssMhmUGQTSUNtmJ5Yjh
efmeN4IQWbktSmZD/pKj6xTf9Ym3JBHEINxRx6LIwM0ROYMmG2jroIyfg2aQZCjEYwt4kciKeNIY
O1YcB4cteK4rp/OF8+hfLJMFea5reytBsOIw8s6i+Zw56Zq6Nh8OUcKzQRdf29I8CZ2jmaMac03V
I3jGoZ5WWUlk08vyeZMPBuZ8N5rXUZJbYOoA1md2x9/ZFwuNfCjJwjUsw8010aG3vK9Z7Md7Iojx
urSL60x29naw8nLjxvp84dqzd5UVBWsePcZqGCYyM5ybrGNaKHEfAU7a2VEFxrSmAazWqVtb2YlL
Xo2ihS20+YyhVKN1djSc6G6Cnh6BFcioQdOCjq46T1Kn605w/sNO8v76jfR22ah5q9my+72tedGX
zjC7F5UWaGpxLDmwpCQsTqOaaD2Yzb6/k0A1440rquCLtPPxrbVEdFIuSuC+oY2JgcZ5EUPViU1L
cRq68MwB54iGmNy7lRjzDZs6ChtGnXx2FujPolDyodVFRVqoYVm50zKpjsilLTOorxpueX31bNvt
gzXxVdRbH4Zo5py4wVD8m7BZGmX9hpEJeoU7uJt2RArFRbepDL3/NKcuNplOdf9GdJa/54xFyVGs
V3j6WYnCgptwVpdN1H/lykrCxKkSYHd5TI3Y6CJj86h2SEnTKBCIYzqbI4hXVAIoAQaENbOpTobg
ns9dSB++CAfUPqVByS6hXbEgMqW8J9qWSI8IN6dOIALk/9uC8/+ZsPajrva//z8CqqElLbvc/1p+
u34kEOl/1N9+/ye/C3DeL8vqG5QSjq0lafMvAc74hRM92CP2ABiOfzWx/kOAM39xWA0AQsB1Zei/
anO/c9MM7xcf+PYSoUDPZ6P/H8HoIRv+JMC5kPDhki2GEzyY7q8JoR8EuIQth2+X9LdWFLFplKw7
tCo2o6ZfYo9+R+yMiEwMZgjoDMsbspzR2XALuYXeWZ+yNDU4B+uc7nsrCapVtDROmGbrdSsftGaz
Mwva20YjiUlCl+24AaDiG2GRDM2xwNj8MpO4RvEu5SGxJCHnLG32XU78sl9uYXUtimuCR6pd1aLt
gzVhig5YZwYogyHD7gYYBE1THExf2ici6RE6eGWrTdRZ2mXA/M8YyyKYI0wwap/06jWMAFTVvVOI
5Ye6zn2aCTk5ll1ATRWHMOofHMt9VhzK6SrTY2o0ssrTy1XDkZcknNUJdMki/UIz6Osw68kF09Bj
1Mxz6Ii8Pzip27y5Lm18tklfNjF+98GdbXnRk9Tcjb2mNgxXNGJNRXzoMZysgIEfKEuRW1EW8ybg
rdtwreOlqpsICkQ83DeFyQ0/8C9+OcqTKdoEwnT2YZL2XHVg7+4jdmaHwqA9GLfO9HWcS/ccO3gL
FvWhkKxmsh4FEXL/MSuTdA6VbmFXBBJDoWqJun8iC5JU1M5p+N2lNAz6MMaBcSmHyvKEHKczgarx
npWZDA4+Rz9aW1JRX2l0mRqGKlO9lV481IeBlfrJFYhJK52mg2vp5yXo8Nrve5pJuYWdhgU6F2b4
9BZCDY+x1VyJ4JZdqWmFbsvpalsg2x1pCEzDqKJiHfi3XyeUztPRuoWeDDJ14LhGc7p5k9A2/1Xr
O3MbqQGAA0nw5SX18h5Kjf+E9upsnNYfz5nK+2treJKPkjr1aYXr02kJQTf9g2+UMdJDYpnPnTO4
XxhgGnbUQ2PcgShxrxiX+3ztNFG57xxPYnazBxoUun56bnVTvJPfS+9UElsbS4sRThgxJ3EeeEn9
tpNGuXEgd0chTSzJfUx1/B7/mL53MzFu6dHNZRhlC+Ky8sqLNGULO/WB4wTND0O/9bT4SznUY0hn
YH/TtbzHSM3pK2JDd+uUDb5dm7Y3vymu7WjcWNNkEJwYZ4zh0sKaqvGWaZymGiOvL4zKFi3CjoOx
oJvGeDc0zTKb/mperBhe500XIPOEGjilta3pw6eXRq8tStaZw2VxGepgPPAQTdNVOnuckFRun5n2
y2MxK9RCwhPRNVWK8p9iqU/pEq2J2OYazJSNnngwnKT6YmSMheEYS++iAiQcKvqKfG00Fahhzy/d
k1MxUx4G31TdAYSEm2z03vKnr7bOh/Sg/HpYK9aKH5LZh94gNCm3QpTrp6CBw9AlxjPggnE8xKnn
GKtU9Kx78etn+jcLaS4405qbpWiOVsJHsajeQ+f5+THR+PGhbvTTU0x1x9rp2vzZMEdOdXHJeQTM
BtvBmc1Duk0YYYBIsnvNNp7TyWfqqYcdVDPNCbnZf+nqYDgbVqvoQtOLJ9mQUQsFFjg23HLUPzyP
SgI1RvLSUHW0JdwYbfs2ZZYvptm6lsbIplFFxqtsoLp6TevsR64i7rCV2PppWz0OiWkoolmzQ5kk
4YvyQ/RteTezgf9kFTDtMw9AbDOM/aYwdX6wQU2u2EhrtukeEmjtj2Q9bT+0PUWuuo1Lf7yfVO31
G08pREdIejN9zqllrNuCdsdNkrI82UcmdULrvIN4fylyMj2HvFsqbiGTDN0KxOX8mFKgmoM+sdsF
LOfa8VrBEHR3FOcJcuhE9S+jUwLG8QQHbCNGSZ47zDxmtRS5BuUc6qx0l+n6KlUuz/ii6EO3RzJv
mk1xuMWDB3VGVcfOTWe4QoE77KZxzGkTb4YnB/mOgvSA5lcwm4RY2YK4IS3atQRsNRIL8LraAiqg
+Us+Ce0hzGXlpftMFEOO3Tufvul2zQa2z6bgnSOuQY9pmqABV148o9zUOrQs15sJ4+PynqbQThyb
mT0u5b1id0VGX6ZefIpcK07WbkcqnidYWSRXr9Sb05DHA7UPc2Ufhsq0B7Iz5bAnR8ZVoLT8VE6S
siRoMPQEpIQv0pLbpD7E7T08lnarZLMYUOZ7uyeMtYqyqHsAMWODI4DfpNMv0Hh9mBcLgMqko/St
EZMuMTqO7jPaPkg1mxJQsc/auY83XQ3tDDqcji1FL9M21Kdh+qTOUn9yjHZ4aANBTrWkA/gBI3Zw
qrmGcU2Z9r2havuZREB+4oZtH5WjlSsnbchyDdNlDiRl752L+u072RnTFRFyLtiVMuT8gfUDUbOz
7GniT1QuGNA4V1qY81GKVV3nFJuqhjLJnS1t6zuDE4arSvPz6c5CjHlyYqtffrrunzJgXGKXWKX1
lI4p9ztPd9vqiHMAZHOT1+1V8zqJVNWbwXMFlGVvFKldsrzRYfA7mtGzOtAiKrbcmHmNsbzJHPb4
rDbYCKRpfiVqBPHG75V8raNMvzYph/sVVSwuoMR+KpghoAysdU92rzUn52tnIliVyFtWKISjHtRs
U7rpE2kKHbJdyaYTghuNjvAaxtKs65CkWX7lVdfHaAG57N1KH0ZUx059Kon2uM7FIPxVRMDV25cT
ac1V04F3CJcqTxXGOu7WtTsbmgrTNh8opdKrOSyL1mX54BjVB4VbThYCtC6PCrN8haWj/kYOTu5B
N3nfOrsHt+CPcNxgeGiOCnkyzZuqpEl6hZAuXh2aAs6OjscLex314fqk0guGpyd/gCS9khjFjQ0H
KvicDY3xKZAKOAJ58UGNCx66IWpe5qKE61NnfOZ953Y3Y4YjgGNSjmBfggzKu5S1rCQCNW2LrKtv
YfHNXPJRCzAd/kQM0aauu9eky3D3CJ0FNrYDc3iZiMVKKKxGKjZEI8RJs33x1FH9/Mnu3uKS7gdZ
bspuafpN5oKvHiUy9Xpum6rmrtwptElluxBeLRf3u5nmYd910Ze+xtlXw5HYNW5rrqoF+qTl07yZ
p3jHQEohekbUo0nTYmtP1Cr5+uxSrDvS9ILPrVwNeWFvdOVxC0zyTD0PCZgSW7RjyHOf+0nGt3Kp
yo2g1MrqXPZieKwjHHKyjXJSKfb4GtSulKFq9PpdNDmMlTmOrW9jzqk/ooY0K+dX6qE++yTiiE54
FyiH2Rsrf6KKdwUaxIFBRLH5Loqg0GNriecddhxzaeZr9BeKpEf9GVwVud55tJxbjE/+YU7AZm2s
Rsp6L1rYLKsh6MyaG20BCEY4VP/M3CDWVFRQ8ez6MSsttwyqfcPjIqTTnvhMIqv7MkiGL1E71iuH
WOcAjIspU4uLU88ySFtR6xdPe03lPmFmlixsL81gePSReZsFi0i5NArIOwmJ5sUEqu6s8z7TPhtb
AylDVIafDXLnjjuQziZLt6qaL0GpbvVqCNgUGthz2NIEt1laNA84ThfOg5vJakUve/3VJdvDurpK
YTYyoE2vPpHsb53wuDoIrdbBiQuPwTAp4vINK4t6dLC7nSnnMW/z0VCcuf2s2liw+3jYsf/lOUsf
e0hHO8wfsxz3fHuGeOk87z7sFmzVvpyT4ASEPxfcar1qafkaKMdDEy36NcgxGsV1E3qXzG2Btu6J
F+CtbjjxValXEtcpABxABcSfC814C+D8HA3WaJfBzEvMb/4ygvWtYB7IZ/Y8UrciaLiYo1dzMKnz
FNEbRi3jVGms4yJoxnFh55/cJNK3dBi8i/T11ILAX4PoSgu9DFkhjWHfGjFYrKTAlW1E5Rf2Q6z/
utQOk2TQMLERYzSsZCEnscKNnW7YcFct1rGnmQZcoCCyaWpPrTgULHaeUjh+HyKAKrdqYjd7Hzsn
PeNXhMnogZUjX64a493qcFONeizIu2fmlgJJ2CU2+6XSHE9NhO5az1m6CaxYXq10Lm5Lz01hJGkC
o5NCHVlVZXoYqFchZqLVbwHJ/lXps3JPCIC/I+fQ2FP5k7hMAYHlyiwLelGkeOhyI3sxo1x/SAbB
+Y8VeX0DiCYadibQ0Za9sdlmhMzZztOV7BRhmzSwGLksNiPxRTCWgJR8hoKieJisGXJbzOu+C6hd
CEvoNf26w4F7Ypkkc+JSrfyiYvKb48xwsQauNcdhU6j4w7UqhkXQmrgJvHxXNNaMlyMv4pNog+7W
NaL4IPkAHgOnR9yK8vosLF4GkxHtOX1GiqIdeOBO89Q/moN2dPlAI45fr17K3RbXn3ioy/npB/nj
9jfzzo+g859iFugYSw0coSx211Tw/exF9S3eWKtq513WGOldNcztjR27xhonsXdMKFraGQXVVn/9
S5fsxo8+Isr+dKz3ng8swCPpvviMfpAxzMQo58jLxh3KrDwzZbS3FEVQ6aGzk6hmiqo5krkHNQz1
51//5p/8nLxcxglGfd0iqYVV+ye4ROU4A5tTLAO1XxHuxxnQsxB0tVPDAmwGQRv9bo7/bynucao+
/9f/fPvIk2KdKKpNvrV/0NWMxYb8Xytx/0ept/zP/+D3/gL3FxJDRLRplAAzznf0n0a4gCoCSmjg
7zDd4Z/mv/xDh/N+QYJzDL7G/ONFJvvRCAcrhow+PTvO4oT7j/oLftPZ/vUFBoOyXCzOYrgL8FbT
oPjHL3AZe4Mea8raRzF7DICRWkx/qRFZ6U4vOxrnfRoMbv0kimPMq5ZfhD15acrq25QNSdx6PVMI
NkBKjMrWQKDnWLiycgcc86h1ESH5CcynHzT9xsSO9zkZLd9Wil2To+3wYAFk5svQDvrk4BbUBzmF
urWTwrwLlAE4zpzckNqa4jyaQXJQFAjARrEffBunDe/gtNORTNYlvVOXVHlb3ELrFNzbxnExFoAw
9qquW8/NMIcudqiV2VZRODcL7A1ExNoGbrexnI7FXB1cIqEZmFGV2Nlz/JXkTgICTMIOI/wSzjqC
ZOlYHxB8qRXu1bcizwDrVYm/QuuZyV1H0yHFInI3B8FwzBI9/mCC6mErG+pYGO2bN1Jwrnt6s03R
CtdDwO/0E/cz6j3jpq3Hj7nrnK0+Uqtlp9R11Tw20vmdbcpBo4elzaPnkdNjW8uzTdAOO9wxtw3c
rIh1sPG1b3bpU9Y4Wh9SVjtlL05DvGE8vIEUDtajgFS2WmQ4+pITDtJw1Fa1kT7L2Bk3ree9uKl+
Thtqpn1vPaihCZOOlCcBQZ99odafcAA3K7bMxzwnJD0l9m7U3ATrRnubNVUjmOMUtXEiN/dDZb9P
A2XIOZ6au9lyzevUcQqRFBx/zWmZn1Zsv8Q3M3IjKq5HfgIi4K4wBvtb03TaTna1f81zgWVtdKfv
TdD2JCwTqnpKNc6nrMqHcxNnV92oku92wyoKZY+uFqGhuSr2kE4i248q66BL+tq9UQfHDFUlNITB
nngmin81I0KroN1us5ISvsGd7/24vMs8djRi8G7nPBkOPOCSU1K3LhTgLDJviVXV68SZvkknHbe+
JmHddf2FHuqDRrwCkIGpsnvP65yNV9XpadSRTmrX31op9ogCmD5P4mI6tZl3NTTbuafDRxlnz4tS
prG4MOp1AdPXCnM7g6HW5rID0S0HARU8WMwRac+LXcvK5rpLXRDModsludzYM4PDDseIywvWUvO+
YWPKCcrKVb/ucWrB53NB7YVdX+u4N/SxERvlMYbQshcnywmkhA8QSQj5GBUMmzJIDS83yOymF2f0
2bzdd0ZQtWFsommC+CRO8ayhm+Nn1Aq/nddZ7juS3WLph2YPu/vGidN22vsAV6YTnFs5bP3RYaYX
RdP4D7mJw++Q4TYrv1dZQqUPbeMBVwBNDAGHIy11V6ACMaHgOPDFZqJgOQ8F2+NyF1sutg6aCJeV
mKkn8TbKNV99APyLczgBftCvDSwdi9MzcL4ilk7PxcAVA9syum1E40+kjQyWYTDj4hJtaZBwsHuN
sjwX+y+NYKUU6DWZ5M3yMo24oI1GyekuS3WukBbippnM8YpxNX9QLH4/h6imgDaJedaHWZoY2a1b
pnm6nTu78Dd5i1vxJs4KPn0bEXon+tGE2RpljQzxxsyMvwIP6C7vCO0c3Lpp5Td8K12yDbyszkIz
9yO43r0xv1HChyV37OL7gBzFBtcMv7ADLdsaOdpwUSH2HqZoxL5W9zhly/noaqb5NXOT+IJzsH0b
irKjlg4M6QUyfgfF1Z/TQz66MyVQGghndnq6qx7T1nuM2/HFL9JxrYqas4oz1FtQRvLOSmkI7RLh
EiQpsJESNtj2vfJfhVk3OCBae/5q6PPH4HbRutG74kukNXjx2dSrdFHl+/bk8nObldvqpHAXdEWf
n1uysdYu4PD9OfRTk4euGNB3JLM0/eQSKGU8Rt2OJWxrrksP3W1jFgBIwa/GX/rWHr2tG9cwgHNP
WveRrPsINrkH57pT7kmZyyF8akBU3TsyCeY9CiarFV1m8YP0jPhDc6UBgj7JVUwI0k4eG9QMgLgl
h/bjbIx4UOM+URhfqC8H5YveOYzvY5wugHK+y5yAhUtRuQB3aETsEppR9bdtOyVXW8Ob21vjePEt
kuRZZx+i2E3v2OF1iGtz8aTNunfWaBZ5VaNT3VWaznkCeTkgZiInlt5NLm97QNHvBe77PW3pAzXA
4BNRkv38zUVpvUMYa1YcFYIr6cIewzq57ndh+t2zTLK0XjeU+lKtZnVRFkat5X/35VyDb+2G71Hc
D/TQBaUnH5VG37DCotuAs3fjGOeTnsrvie+iieLH1W+yvnfvy9Jwn/NBS3dJn5jeFuuOK8/UiqKf
FFO80SD+P5airkSosqH4NBHav/eeNrwMtdlV69qOg7Xr5BDFSGmxkU/Gub4S6LcuQqJJXiA72Y9Y
pev8XFTg0PeZUeKCFYnWcwrTY//FK+H1wX0Pxl2KkGseXSOzP0qt6e/cDFi+XhbyXCRtgieljTw0
ccP5OtOzek4m7qp0oE3iBcK/fgdJGAO+nOR4wUfWr314mHu4NRarMcc4xcJsDz3w8X4lbFGsOXDq
GveIkoI4EnA54oQ22RRiBrN6GmNDu4mKJp/RfBR+cfDlc3PJNfbtIMsJcHKXrCXkdD0oEBGo0yQf
hn6j2pG10mxZyrlrKPh4yRUVo9sS6a4HwdpH7KEoBE2PwXIyO/hR10YHjXxTs2fvy/OvFr5b3PWO
qU1X7Buxeachmk0cD9K23+IGQcRTljcRjIl56aimUmA20DL82olvZMMOaowjzkmhuZQcF0N/Z5hR
Io50Cjj6mSXMnG/0QKt8LHHlfVCOFR6LVJu6+wi6fPUlyp1wzDmgplC5VzSc65si45IP4pjqDMPt
Lxln0t3Q1sFjNObuXcrkIsKcpoHQHetkr9mztQ8cf1xXZmJCjTbzKwdavDOsDHYQH+JVgNFNrrVU
zWcV2X67KpSlnRJL8SlUEjMiX4i++Tb6bk0OewKB3Vn6jZqGZJ000T0CJLRkRQVV6xIqVrLqX3yj
q0/4tFAKFKS3TA1wf/XKFY+2I2KxYbop+ITL8TBPfl2dm5LmgJ1l24QFXLAWfKxV61hhhO+2vTVN
qV995VkXyqitJ3tAjdoRXyCwSvcgt+W8dXHdVgi9B82HnDQZfcLHPEEb2gRT1z2MVjoAf5n87Bib
s/jgMcfNMmoGZ1z1Q2yJPR7baEPxg0kQIg9Qw3V5O9vlbe0Z406xKuIcWGERL2bnXDbgiIvOOdWz
Y6EYtY/stzIDlSk6DZozv/HASB+EZ8qPCkfyrs5qgzpmS8sOsP1gjnGUqT+EQBAqSyc6CKkPe4kB
L9lWY+xhU08atvK6sggtQ7Na3JA8CHbDyNh+ceI22KlyMNl5jeN8zWz0kbqdym+Vmr61tZYh3xkJ
7nj6IB1c2dbiijNkzsLlh8PZv9EJMD78cGT/84nnp1iiNXboS1gCDnYpcWyzjsISILW/rbb8N7/G
p/TMpYMbJp3z0/m8n/OijCJtOACtRm+lrSIN8Yrb3t+8nD8qEMvLWT5fA0uGvvTdBj/9HiPQzBaY
X3eYu6J7S5cnPIl7TgRi8inuHqnC/JT9HC/k4xxG2l+/meYfZYjffj0Fsx5WEo/T7c8vE6Uq06rG
AvLfUI0QL4OA6efu1l6Gg35Q8s6vLWo1S3t6heMEnp9poteDx5npwv51zDDEWi6DR+Ey98/j7eih
1rtWPVZHXUcEZuPbYkHShkReVdNwqyq9OWIvFrOqc4K/4aH8+QVxEtbBZ/DGouQ6P9E6sIrF7Oq7
apGiQQGTExIV6IIEZD1rF2jR3MZ96zeX02/RvH/znfzzL7XoibKJvzKZYr756TvZEBuw+ywgg5qI
+Wx5tG7m7aveiGNCExcuoH+qE//mly1H+j8e+fll4H55gfwk2zb/eOQXgWUW0s+xks8JfMrG/BhJ
jeb62P7Nq/rzlQZCgTHEdwDYgQFa/vuP4liuDPY4SXFIutxsr7ZRRTw4CwOX6l+/op8KmJdvIYYk
m1MkYyIENO+nD00Qakud2ZGH1jbcU0wP1JpFfizOqB/UeGewUqiPgKkV8Mgb1DUb2ADe+oYT8iCK
P7pfp78Ki+e6bbpo3o+/zofNr7PiX/+pf3pPDNp4A/os+XbhtbJ+/ktZI7dN6SeHLI5171D5XXs7
liOHpf/490ADcX4zcznWUpv543vv1rGqhejiQxFxGFgDQilwshDPO/76e/5bFPwbURB3HHubhYT+
z0vvz42nTVe8fYvf5P+4bd4+PlX8o0j4rx/wu1Do/WJTSQoM0zJR/iAw/kMoDIxfuK/TR4tMx1i0
dGv/QycMfsEm6PL/NukytT0TnfJ3v57p/sLN2EcotJhRLcTp/yQwC3bnDzcNyr3BgXhQ69gxmXxx
f+WX/nAt40evpgTaxYHjvkjJLans6imMKmuL+ZPZcuxkus9lUXUrr1rc14lfdDUHtNhkvLHTDdpk
c5jjwiEoq9Mft+rHhP8Ff568Upce1CvhY+rasGITR5xk1MBxb9I3zaBb4qZ0nHyZC6fq1ZUIJevS
SNjVIe4LKFOCFN2G9lPvixoADhgtqubKr/oNlgIcYcRf36t5yrINffWsTQHHtERBTOHP4cym4i4w
cA3vR1xNc2iSwTP39UgZNbN7Ty9PTw3ZLbNMH61sEoV5ODmGuBQovndwJqpoldW9x6aJac0Ja61W
CVySXP8eJ3o5b5jGycHbtmbfF3Fk09ZICuqltqGtEjqKJqxBWntbpXjF1ZgXXegjFXUrq7H7tzhV
44H7a05gtnKTV/KsCh+yDRFkKHX9bhzcZj3kpnswDNI9VoHpZUW1i0mMjSqvx9Y1pxfgqst4zN4N
25leJnvT94DpWHOTwWSb0tzZVMuYaubGcBnGWTtZOduSeraT+cZK8s7AFVZaxqqxp1ps7aCyguee
PeVh4i5jEH3UCUTNBcd+vDCGxkJQcpNLDrVSDiPw8r5km3q2UFBTWsKw55NoXUAnsI8jt6peTEWC
Uk398mbFh66NWW0V6GX8GPvEva3e+xkOjKtBxR7HBC/ujavwfLjMmtcy6A+cao2IwdTuONa3if49
nWq2ohnE/wEKwKHUCORBWDNXTW1g2esU55opmm8AV2C/tBKHZZXdbpmHJ8ws1DcRVXQHGmqCznsA
O4hdRjPYzmpRcCT4h8qZRqg+vrixZP9sVhZJLRdGMN8P6i6cDyPPD0XfHIZRFDtN6vkOz7YZLg0/
Gwu83QXTYXF0+drcs7TSDu7YZ2Fq2bx1de3vqOJbioIXmxEobqHZIZX25IsjohyGri5YZ2kw6Fm8
yXjw+FTt+ANFUO7IeefPCXm+m97K0Af+L3dn1tw2sm3pv3Kj36HAlEjgofuBMyWKpEZLfkFIHjDP
M359f6BcVbZsV1ddRd+rbsaJE6eObJYIApm5917rW+0UMehkAyWp38wELahDZOdyacRNdi1LM9tD
GYZeHQmkBZyLpuwD1b3z4v4mqplqD4zUt3QGGN5KWZ7nlk+J6JBhL3sDCWkWPmdaaDDNwxzkTRor
6enuynIxSpkYgqkZUPq3LqAtrW4uC1qQBSlPcMjCQTS3sZ8f27yE+66O3awRGiVZ6NcH148rGB5D
zQiV8AGRoGEXOpb8cu4N7TUDdlRJUrlJ0/xL0wTHqNPqmXAJb4trZtQpo4BDXfOUebaCFoSfQH6O
0gdYhzmLkXFrttz/Q0KXOHE/x5q/1prUOcKhUL+UdO5mZZZf5BZiYq1DVUGpi3gT75RM64uGqfq8
6BS++RyBh4J2VyE2h+Z3jAPYcwU5x0askG4M1WgcsgoXJhaEFDkZk4ysn3dSonUdxPhAwa2twtAd
qfvNYm1Q7l3afkRekq10N6Tv3Fi1G57HIpEklsUtesZSLm2zN5foX9MrytdqibLUw9mTjPuxpqG0
GJJebHwGOLMIjGGzYDZtqHPTTD20BoWCp97Vh/sgrLPZYLjd3nGQEliRjJaOLwSVWPk1LwxjoWKp
OO8t11j5WucsQV4Fc8rW5CgAF5BHWYEiIDflOcvTdKVijefDdyI9mpgdiK5RQQnqLithjaoIHWph
f+gc3aMj3xLU892u+osDrSVe4RxsKOcQfMECSXXChhqvTjtZVhZ+iBZpa+tVWy9crUusRR1kw6Ei
ge2uy2qTNS4jd6szihG1B86827RQBthisfa58Qon3MEg1LRlVAsI37pFbFc5fftEW2lsU53aSXJj
JIrgJfjjBI+Orflb0SR2d+hJty5BPY4dEgUDG69UUwNdkGO14iIPRvtyHJvo6NsIZs0ip42L2sGo
ETzV1TOpQRO2xLc+RBWTGtyNA3EukjTfmVrw7jNXWt2l40bVFqXEsG5Y3y9GjN2rGAkX3pa238Cl
ds7piDAH1iGfGDH5iuCN6nuM8/nCojuHagvMJKCXuKTORjelgWhbyZ59q7YzOJWkbsytDgPshgaf
grCk1eBcrSX0RHj3ttpuSnUQyU6agb10SsRymJyVL1SFw3lV6eY2xmc7zks6UNdRZOXLPqvFIRkq
44gNkYF/NyxHg0ZZECAf19JxCpANteyQoPDH7qnYB1Fb4kOq5AaifruY13RxVphWgUuo4IRz1a9X
hmff+IIpZEV+ajhctE79xNxx3fjkd+mVau7z8LmFBeAomr3LNOg/AgzgAl5rde2rEciJjAvHeWOe
NurkjekYT6ZqEzwBs5nUk3A+G9me10p6rXdNsPfdhGaTaljHNvA3EnThlm0lgtBmxfelzDMXE5yB
AVs2kHmGvGqXOf7JGZ729CEciO5T9fy573wxL0uTNL+RgFqNe/OAsVC7CTzxSQLyvs58njwc9s2+
qkXlrRTbR5ZogzOixYdG1TtPW89JP8eDmT9AS6SJaEfSMdeEQIt9PuatzqIsRP/BGXutWSBNyp8G
KPaPCDTM8Ua4io7/lwyDYW4x03vUDM/f23ltoIBMrecudOUUgAdr0xOG8gwIqSIEymq7OcNLnHOK
GoA8Rd+pJ5hwDUOpPxmwyWeR7iQ3eso0YinBF69FbDP0LBqBFtAvGS80Tou0NfU+isT2rlWzNi/R
qHIiKDr2eXzeC8vsg6VlKfZtAUKNRpJhPXGqjSTbSe9pm04t4vOgKxRkjGTOqbTrlOgaaVLXzYHA
Gsi0Swau4IGm5AiTA0e1ZLHL6Tv06CM9VixyRcqxKeZQhb19UnsOl1MP2fYlIU/wlYvrgWHNB7YW
8wuqtWbD0Qvh3WBkJk7+IkS2SROSB6FJN/ngjKx+NpqhZQfR+t4SYXQZDZGxh7vRXnuh4zw0FVyp
IDEBsZWudz0qEUceQy3TG36N6FYbR77dImBrwqWhnlt21174hQnzQtA03PlRDJuldAqxJDK+WgLJ
eBzIETxnOIRXWB2i8DGuA/kwuN3XNm8ULJta2+K9TVf6ELB1dSIUa4gD/cfSwA45c3tCA2YVYZ5P
JL+2N9g2zAcM34gH9aTF2+ZVOr79gHjHDcg54+MYkbLLpqQ8WnUQXgea6zzlVdHfIg6EiYfRDTpK
yrxzOoWLjRmqLXNINcYtqmURyhdjtD41lhlucqWpAeNBk+yXooka9tUs8Lq52dfDR9UulX2nEpo9
SzGQOTM9dSOElGFxaTayW6j48j6rSYlMVK0r+wM8q7Im1gLQzUUW4UqZBbqKXq3pBpdQkj5I5rlS
Qu2o2Swep7b8jejw9ncuRkygFB468MaErme6KbHtDiexWdc61TmLXtUs1KHt40XmFoyoRd/pH+k9
DdGmNzv/GZ86klLa1O1lTlNqVqDWIngvktiybc7YDKMj72LoWV5WRlfLz8CetJ0L+uMcp3wZrWk7
jffwM/R8qdVatRFer9yllfCPtZXaz1mv1TetRgmFM1eZiqcIDX7peDyESRZCNbQL7pF5CbltR5yc
hnlJc6h/kH+BMag9lGU4wbxjLZzxtlYD5TCEPYu9VH0MNv0YK19rppGELSY6g4+qUsUeQyh0QJC/
7WVBDOTj6BvGM3rugQTLUC++DLVHB7iwmBbhRfAe0h5y3ioiwWXbUG981YO2RW9LlCYzzgBJYxHI
fukqLVMSrO/FvUYWSDdXUsyRYNZtACPoTJdOZA8+p4Oqh4Trj/VFVYbOAQqic831SfdYsDl1WlX5
mBSdtqRBnqZMEV09x5db5I9JndVYGe0aX5arBIIJTddvUWh2a3zcYbcIBXCxeQjK3ZuFeZ8dTDMP
Dk2ge5tCMaCudKZnbEpMsZgZZExD3gijWp/7gQk1LS1rHKBpgABfZPJOU7ThmTrGyGZhH0BPKNKB
2UjiBuW+HPoBdW9NQuFQdg+6qt60Sl3cMnsrUFxDxj+Qe65mxzbq/U076uKJYNxJjD3E9T7w9H5b
iC5a5r1ePeAPqL72HvyihdJl9k2mkmk4gvu5H7qYnShqpb9NSug981HaKPKIbsQXm+bKpZchTcE0
p6RbH/4ayELDvytbSz8fUoPZZURKe7h2UHJQapd2t08dvzxIuyfexi9GEr2hXQlpVltptfaj1NT+
puS4BVSKcN4tpZLlrbTeiLckVCXlqi6GZDE23J0kgw6ZPBQadNKFSudkPtot2pyiM56QqZdb8rqz
vapFPXJeOdCKLrEAU0/mnMB80H3ezCngXSlll+B4Ft0nCXHms5fHyjCDXgMeJmjwmMwG1oknylmG
OZTwcq4Lq1i0qQKJqEcPx7EoHO69LkRjwCVmdOo4eUgtPTX9FpOEFzEGD/aAioB5uyLtAjNEUzPf
iUONxPQeZKYaG6m39si6niFYKi5t/B9rELdTunLTP+SZ4UaHREks7uFyWjfzABktKgrWIwg4dXLM
o5JTQEslHKz7whw4X8hskuRxKmLyr2dLso06bubYGZF2196nsRyNiwoCibokEQ19qgMoxUM8Y5Ok
GcaFOjM6dxjOuxiZ6daWDhZJ18yGj7nDsU0FMHDXF07xRUSdvVUVJ/0gROTfO2nbIHnX1W7dqYq2
zTRwg5bVIw5Ifazg8E2+wp8aqIgJFSEaNknjfl5Udgu+wa0I4hDKmi2pWAAvpY5TKcYSXVLmezRT
MAVL8ckkSWpKvczF7eho5GLoFJGeY51LqN+rIQZkmVbOeNP2g7pHyGIuQNtkM8et+mEe9GF2XVmO
+ykbc9KkRFncxCig2LOrCupLVivUi7URXI80pcBI+/EH01HafRyZ/W2Wy5S0hJE2PddaPQSS/Akn
zd3LKlbFecsDfzvUHP1LJR42nuyD+RD06dfMlulBAPe55bbnJBya5xrMx22vufUDdk/zIrE02BEM
+ze+MABceeTcJrWRrnWMnZUUN5zJy6tOYkVlsAMdHy7KBnWF9ajyzT2jnvOIMFPFqg3McuGOWrTL
mzQ4VnKY06ZCq1yhbZp1On0GVPPeV5gDdy6RGAAF8mVSxgYZFGh7MurM5WCIclfn9aPTjmRIM5Zc
O75TLmHRkmkNoGsGVBI+QO0AX8zRLFXBJw1F0dStiNDSM4KtDRQNQm/Odd8NNpZXxxeuHeL6T308
nVoffyQrJ70cTYxKDqY7fsm42oB3rzcQjuVCqW24bCpoXRmYxoKUDidj8/z7Mu4nZrgqTCKcMKmZ
GqMQ7QTt+67HqLD8otHJ5FZHScCxczql2Ubm7cEcmd1ccAsNczjd2ixvjHwVDY3cdonh/h/DGSd9
5XcjErqdyIg1k+a5xSNOk/7VUI0ZAHGrmuy3A+axsK3qZ8CR3XiVt6ZTHWwIMdYRB4aEszkm3XU7
ZNR/5LHX4GFbnm/fbO+7Xhf0ySDRgI4KHfpnBpS94skSozQXZqWIDwUZtUeQ01x5y4gf7EIhC/PU
kEu6VnuWaZ+mc52q8QPtD2XV17Vxo7ed8qn0MRxHDWok5MmNnPmFFzzUgTHlNrbmpaMGNAXsVv2A
f40bhbnxVZFZob2gE+ssh1GNLgjmLhfGkBkcJAzv0BFKO0fUhNMLOcQFyTvGZRN7bIepiFdGHz/o
RqZe1bp3Ljv05PrUtJRT+xKoFp3Mtq9ZIRUU8/6SlisolFPb0zu1QCXYx6/5qTGqm4X8LG3LPvYi
Kq9Hb9Q+4O4qCiZtnPKJ8OXA3tei0ReeZwebALzonYNMPZhjTuB0r51O+s7p1N+fKoAAs9wnkZas
nWprH8JTnaBhV9igLehRZxaOjp9jKifoJllPAXDYmcDXvFVc/c4TQ7PNUcORGUUnNBoHgfcNBQw0
b2oWbMWUL/ZUySRTTUMENf841Tmu39f+EnBachNmA8n2WkdFNNVG9lQl+T5KgzJPxJohOD3KqSMK
ZpHKCqkBRRYYETkLp8oLTZ2x16dqbFBobxdkuA9YWRrKtdxh8H9jiSp6hGyWPwlJCgwKwdroP6AG
5CIhUxP7eqS+XHemRS+cRnr+AKrCSj8rPtrAJbYI72ttNFlx/PvnFX3u68eEQSlTCV3ozCeYlr4a
ZjUpfgwS3ZttwFnrMld6b5d1ARSQEg5Emqj2trDLpJu7TeYu+zI72HHm7vw+I15Vsbr+3Kq9gm7a
qHiTwjTNZ4hq8Z07BZ4Ikz7pAyzsnJkhus8bfGPgUnTMH94QdEtL9gdiOA4dScITMUtrdxpDzZqB
Qu9+wlhsrKwgt7ZowaIrFNWYYnorPDcs7SY3fII+3CMyK6KLXQ8gtOGuNNW74Rk39gTaXlKYIUVR
TBUjdKAKhSjAsWHLLmxr4weFIJHe4oDK3qFu2lzGRwvx7NHINFSCGWqRW4IZUiR+IaLGvkGTkxlZ
R+9tiKo9i0txtLGGripOMvVC0FvucPwZTrsUfRydj4WKiKXRsGRQgOfpZ9lU6HAju+EgKeqjjo/8
fvQ6d5EZ8N0g78dQxnpSibVYuo8+U4XHXgyIVbokK1duHfnrgBDriF3XlMwswnoVygEAly145Ey4
Iny+0iLwMAnbzwmcOLavRnXXVMKMDfvKGaYYFCI4ZrLBfGappXvlto7/nGimu66lFywRairXPZ0R
OgVoovtAtOdxiKEMdaa2p7U4cldy6IxDp78gQkaBZhXnS96uhp5sp9doV+1J0pkXd+rg8gQg6kJB
UE8m87z1Vxa+OCIjRbsaZFE/troW3Cp+pd8XoE02RMWq/jxrC5YmCAJXY1V7i5K4hwumxSROAFxZ
ZswayErz5VH6WniXgmhiFfUduIOEr5rngaGaMUWM5e5Qh6v4bH2V59oJjV2eZDfIunOw+DQorNNO
RPSBeYXHHRcU/p2E9o7auChu09o+gihrDFgGDJG00zxJQ9Q1zt3TnEmdRk4lXd0R4vM0iXKrmKmU
EwxhtLRS/Vk7Ta0c5lf6aZJVQdJdNXon7+PTpCvVFUUg5e6oPgNW73TB6pY/enT3gg0+BM3bj3mu
oVhgH/sMraLHU9frNlrAadoWTrhnyEM9/01lYFiXGKjLbRmP4bLrhLYt9KLmXF0wq541zkirqXbI
TN2EtoWMbKCBIRYl1pcLozE4TwCfo6fbT+3dSGgPGFIIvqm9W0CKD0E5PSB6yGQIyX/hjhj0Wkeu
ci1rpt+6WgkmpRe9z4ioUjKxyaOh+leCB3ZzqXGwYJECNGIQ6/BK8KDSmY9oicqt4xGt7hyKqNzl
7dVpNfxXg/Df4p1/oNDcZgn/OSGe/0Q+v0Ce//zH90GA5sLrU4bMd9vCTzPuxVPylP7HU/r5PyjB
Xs23v/3ll/m21M+cya6kkS1hcdL7ywgj1TPilogP4KwlTYtB9l8DbvWMn0idJFYIDqTo8rv8MeBW
zwxaTEzFoYXRsKbn/wcL+9vIgIv4WwGO82q+bZIQw43BDJpzH8oMlX/R93qJvFQKTH6audTC4Gsj
rb0sxTq3nNvQxQynImyLByK3WsW9pWK/ykfrUZYe3IWPfoeLRVO8Cxw091FjrQlKXGmKsgx3pMCe
1x1aSBkvPbe99Dv1vtA528NjREq5Dkckm/k8892lGYNaKhHz2yva9csQ6mcclhsO5NvIMq6sUuzx
tKy7wrwyXY2YLfBg3nPv+ashd4jaK25sJb8Ze0KzLdpcPn4IZhRx/TzGN8OEBknozE5sBUz/Mrcp
aZKdlpv71Ozvc4Mopjo9IihY5sOwjhMLf2gNet69RZWK+8M1byvL25RdeEhc7P7SdxLa3uVmhMaL
ti2+qj25MXLUzqz7H+vSIfO9fAhNLpmnmmvDtbbsP0s26E/szIsiT3ZmGC+/u/N+MQd6fR55+RKn
MwkndiKt7FdjoCEp9cqHJUiKd7GgR3aKSvO64iCG4SBLMNW+H82jUS6VBrss38zf/wKTL+z7ugEx
BjIuTFuWsKSJJumVjisoHJsmDKJSBbBEngc7uylXPbjYWTsIDpe+fjDdyFqjMTqGxXjfpgE4ZU0o
28QiVljOvgx0alajVVpzVPAgBTQ3WbrZuOtj+ERFFM0t2wM9B7AkIdqWvT9OFmuqJjaykgxSMqOX
neHQDoktZJqu2LgObYmeSTuzKzaESv800EpAhDleNWqwHivSC3j2PhiFfuFKlOlhc5HSZTzPkGxf
/N9aI3+7kk7r8btcJg3se7+XAl1+8dABPQ1PPy+R01/8JgHScQSqiOkR+jCU/W6JtB3oWwIAvobM
8ttP/tAAYTC08JIjbrExcP8AzRdnKmo4vH0EvzsE7cp/s0Tqxqu7m3wXddpHEa/ZDFkBIv24Rjau
XyNFQRFfOqXpbXRIypP1ekSUrDmBj4wQeVltUcFtYVk1NybSZW9pdVo4rphGGnfFpHUGDTHJnl8k
0Cc5tDhJo5NJJe1MQhS361Q6bApHXQMysTGXJ3G1eRJaVyfRtXoSYKuTFnuYVNniJNC2XU4dleBG
Z6GO63nTaJiUJ1W33cjmITf7eJaGtrPUJvV3kdrXKjGHTBvV/TApxBmFIxaPJt148SIhP8nJ+bAo
CfEXgJQ0tXGHOyaPF92kQieigfCWSZkumxKQxqRWdyfduidQsA/BgNrGJPw2VYYe5Uo8WFcIt51b
lgn070jtL3Mb0Xs4JGDCJ528QZYkhnscAbpvYRAAI3Pfoo5HWn+S2RcI7tH8Ir3vSA1NMKXTUtnp
J3l+Nyn1izamMQ0v2PR2RVCH3dqFgQVf8yTyd/BleItKc6exmDIZARh7YQrwtMkgELeMTa9GIqKH
Q3kyEWgnQwHBcW65iUKYSls/t7Vx2zD+DM+hWzh0gzBStcumobGxMlo/fmghi4grura1DlEXsDL9
ZfI65nqjR/Dax6ptVq5VtWtZY5JUs9yT8yRPHJzmjXYv8FuUxLJ43pT1+NWhXGiUrjjqKRxmcCxs
xwZGd8Dm7QNduB6Oh3skpcmaWUUHVbHuE+fSwCSXDEVwhUFHXaHwT4BzuSHxyYJmaGWm1WcjaSGa
6IoPzhAGibaIM7VYMLm2bwXwKUo+mVnDIglq+ybWlGHXEQ02Z1IpJhMxvvcI8ndjMEahF+aviYeC
Ky/hSeG/8ZZqYJ835TA1W7Tx1mWQsGqLTJxTJxoYHpU1kxL14NnNHG5EdQNpm+6AZlUHxdPcVRd1
XsJhHY8W0gKQAxlG3WRWUB1760zp4p1g+0PbYZQIPuJkVxYm1ns6mdiV4GVfZKrB8EPVswEbPukn
28GLunyWuQ2wE82axfDytoyVooNju+1jzXfrzrzMBezEPGLw6LT3PSm0SkfRW07dz0Te90GQXBVD
ts7osC8LRx3vqReDz/SmumVpy/wmabxqLf0m5LqHcLlBtT1Kp0YcoIzNZV4PX/AU5zCNBj1ZAn2p
N5EShiuLFJrogSrYuumyARUQ2Af5MR8YkS3VxAJWRN97BYWpWQRorZaY2ZqlaItmpRZlsUa41OGy
ElTLmhGt4j5kYyy9eAM79RzIiwUFJukvOd40D65a4XKpvPjoOUZxPkE4zovBdw6eUbhPJJS69cuh
4F8VBr8+8n+/lf2v3+54P/yp/4cIli/Vw9Ra/f22uH/y2BUnEMFLJM328//8H3/9vW+7ojjT6ZRO
ByoJTVxYHN1fomScKUpGt0wQsSrgB27pvwoH64xdD1OCY+kmW6rJUfCPwkGcQYghDpIAGovHBNHs
q0Lh7woH/aSk/ktOP/WK4RfSsMRBD1IVCMSPu+JoV7ra0rTdDoGB5lA+eTJwZkFQJnvfHNxdEDdi
kSrJXZZH1kJEmBwKtY+felPIy9CutFmPpykUJJzTvT9SkPszDKN35CU4i7h0OEI3Uxj0APO4i8z2
qqV1wOiARx8ObXxT+STbhk5ZbmzffKRZPdcr63KomE/bgvafDBFhte5Vo4CkRQ21xMhcMusk78V3
7RUDwskBJ3aJMVhPMtAA5UfOssrQkEa2M15CdEnmdVcnABqHSbNTbRDrdCswg3i7Qns1wqX32LNA
BBcJMpxek4vGKwFR0eYofHPDN/i50yVpD8mO1Wc5VPp1kIgLHEkemwK43kz/KrSgP1d8NyTjL7LH
te6XNwHX9pAFCb7SUcnXdBDuALPMLKXbNYKL6dS5sQsHPnJgRHszrdeFgqAizYtLXP0VUKQsWQd9
/SnXh3Hv3lcOh+yqiJ2VXzTnpubHtFxr5BvDAsEK2Q4LckvNYq7Z6dcaMNXCsQgEBEOHiww8Xnhb
OB4bYKKjp0e20hJMjamDzvEYbnC/XSm6aMkzq/q7JhgFcP9kmTd6vwBazeAPwRPwRKDfmeffkMZ2
DUrs2RWDRHlhxixvAybGLDEPgpnNLKarh/0ZPSm24HBt18RlQcwUWx2N1q2RZNdGhHdyRr+jWcAs
HkilcPEjV1Wdr2sl9A69dYm06g4USb0eQys9dqUCZKttLynJDpjuQXtbH7x4oCeX029renMdduXO
K6utAsJJHb0PndeVF4hzBjEEfFXVvizrr1F6Q6s+X7QUYhsh83g+JKSuMPww+3auYmqcFY6hzN0e
Q3yuF/uhVQFQUykO2MQ4D6yyYtj2FWFCyT1t7X6GD1FZ9Nb07w63hYrbOs7VO9I+QIMNrUCUirhr
lfpgp1HEaWuIx7NUaE8mk/8LgFBf6SpeTtgTU03OpVscjdpGSRcuEIhcl6OvPbZIB9RZkJFYgYv7
xrEIZHbxpM/0QYq5kZTKAeGDOCI6QAbsIAlNia1kuFE0FzUjh3peDcI6xhDMzg23Gi5Cs7SfmFeC
xWhSwF+c3LcEBzTbOCQ5IjS8aWzQVMHO130VIKRXbgY6BreV5OjFrVptmacMjzSEs/lQdNnRt4x2
K2Uaf4wGVzLz57QRA36c0wHG0wLl6iJHqrHSrK5b1WQVbRtl7C+T1kxuxzrob+08ac5DhDR3QOyq
VdEyeZqVuVM+1SAmFoXmt3vG7uLSEWa+i1q7u0L2auyFNjbntVpqj1oYN0vpoZDrgRheINeNtqXv
iAOxCP4Xw+w5j1TJUH4mrS7pEBNy1WmLB5dhDnRSuHF9EbtA8unDtuoRqpV63RltsddcXdslgMXv
OA05l4XDQJNbRe7IZ1F3CRxg8n5oKM6bJAfTA4t07/ABFz6u6asQDF26+W6X+UWnAG/cD5W6bdoO
seaGZBewqY3Aq/24akcR/E2jGhmme168z80ya7cYRqs9tNF00bgq1lOt4/Cko6XTOmAhHaIo+vMM
ZM26ubPaSlnFBkfAVoaTzLXSCBNi3IX53IGLZwYewruGnKog88TRStXwolaTvXQtsmMLZzzmloZn
0rXjy8FjWseddCcQIFBiOGID+Q8SnFaJmT+IW05g/qwBfHmwGo8YbUAG7m3edbqydpDWwtWVYwH2
KuWNIcv6DlJOVEuELJJ2Ocfk2vZrFWp+uGxRDTwioQNrW7QegNhRS+/A+dmPFZO9KgbIrOj2dSOn
hIc6nQ+GtchT2GJFLYHnqDH5fEm6UwzP3AwJquumMa7zvt75eXnjlhJHcKbWWDsEMnkIXmPqBsuI
Q/jMUOh/yy4cONwlF4AJ2wu3zHYy4PEPgoFROaLHDsLvPOTcvIQCCJ2ks7xPfis6xHqduVJQtcxS
CbMxo1POGqPFK+lH4TXdOG8Bkz3ZN2MnJ4MFt9IouatGatodtgy5gwtf7QKhOJeNgOPoq56+8wKr
2Ec0da4xsatHP8JoOSfuvr7gu+6xm1vBZacyV2dWzf1uE1r+meC01pwZ0vC/wJJM533p9qtyelKG
6Zmxp6dHn56jZnqi4spG+wWTZR8hgLrKi6CAD5eyP/tVy1ybrTK1yuoJKQ0imMYxEV1NT7AzPcvq
9FRDl0pviUjsLyn0vW3eGt2qmNYBci9x/I6ddZGbWTRvi3S6Dwr7BnVD/DGYVpNxWlcIRsnm5rTW
iGnVqaf1Z5xWomBakyglyYSztWCXehZLVk/87IfSHpttGCVTqnXnXcR148Nis+ynMNaHi9xVcGYy
Tj36icPC6PCnLziAWJ8sFEnrPrTqVZsH1pE/rRwaMLpzUBzmMghwPs6HZoAqpLol6L1qdDihRECS
qpXtRLTJdEqvjpEbVmSahL01AVuMciC320/afSpD4NmigDIykmwzLnSH7IYN+nRk8oCAvfwD5s4y
4W0iQCVhakT1JjsBTDBjewCaK/QYs6a2CRgw4pTiqCwCB6Yk6B8T6L2PG96BQuctk1GM7NeMrVQ0
zVZCxyINSQkqauNgwE68tL1eXBEuoK2mhL1lSazodTWWsC6NE4qlsPw4XirgdJh/hpmDPDx3n4Ec
whCGzGIRKiJHX1k2J8RLiwwJ2i7L5sMYx/BfMErBguFcCRemL7VC22Gy1a8j5jJFnhZX0h3wLoVh
h+F6yOe1nm4qYavM9eq7ut1ZI7HynqteQi7LL00YQTOdwGL0L0TCRGXgzlUJ5ERzaRzmjgcCMyOh
wDAlCKg2/EiIabcawu6TlhrF3C4NTC2DfnRRdO2zmmcUXd5zIJ8xFDjntImxBshBX7Q124CRFcT9
QdGR0HSwf1yHE16nh7NDzI678Wkgzb2EaT0xivKCdpG1YSqcgPQzzqGAXiMdZc8LNGOnsP8v1TH/
FE9AH74jhHwT5Kf0uyPb+d04sX8Ewsxt1YztDNLmeIGGpKPXkdX3mq3CeNGK4auTYRKbN15GdkyF
szMknjuQ3osL4f+bOu/bB/llUOifFc/002MWpPVttnwdNfqP/tAfpdSv3+ifJY9KNncM7d9t6X++
2yn59O/eJX4iILX5DM9N088IQFB1W6X2YyX2vv3/jn5G9Kdu0RejaTq9Tv+i7y7P7y7A33+2n/NY
f36fv/vN/6qAmdBOvdUfyubTe/2LT4//k7KYyZjGNZheHIC+uwi2ekY7mZmoPXWOeb1c7Xd0Eb4N
H996FxhMEAGMoCybboafroO0zqYKHnICDMXpxb3Cdf+vvw6fsiatS0J9vSBLf2iHTEfTf3IrvHqH
vx4EXT+bvmiM/j8+CNI5TVBNHdPx6fXSqvmv/+y/JS/i5v8pBOXfPgiGwZ2OSomR7ss3zOP+3YMg
6QYxsbOsP3787i6CoSJt/We3wKsL+d0tQLKyVFWDcdCvLoJtnyGAobXlIE6fXu/uIugIN1jB/slz
8NuLoGlnNOk02n7fPuWPSyKPA1FoYI3Nl2swrZj/LUvBqw/w176AFINvEIEEjUv+hw525Y2XhIfD
YaG1p6/+5fXjw8FtYwsN3cy3a/L+dgmm7Ihz33RfGNrLVsmX//LNv7ov5BnXG7YvCpXT6x0+HPgP
33oREOGYCGzkpI76cX0ES2EyYP52UHg5mLyjTWISnr58JS9qn//UWXECaZAJb1Drn16vbgGLTYLs
eWSuLy8QHO9radCQLdmsXG89NnJcgibFIgM/+/TiDb+/G5wzBAUTzvi9XghIWG9dFDk6c16EngOL
6eX1wzWY6gddcqP88US8v0XREPZbnwjdYUpmE/XGrf79DcC1YZ7GhvBeF8NvdcNbNwXdPgMoYDAo
/HXdIM+0aVlkd3y5Rd7fpsBB5q2bAk+CsJFrIot8WRZf7Q0GewYYMYtIwNPr/S2LSJXevBxQQBg2
FSLts1/tDfaZDkoZKeq3i/D+loNve8ObL4R2xr7AN85O+YsLYetnDDtZGVXukve1O0rOR5z633hE
oo62HPTBHJF+9fklmC4IOXRcCNCcXu9uSZgug6W/dWXUxNQ20MkT/uX2KM0zVeiEcdBWOL3e36KA
AVkyoHnr7cBRSWeIyB754xZpcFgk0AFpyctt8t/VUvptHYmS9LVY9d92VbgJWBAFJ6RfNhSopWGB
Ujj8UVe+x0VxAu1NgS1vKh6nXFz6Jchrfzopqyqxu8zSXx6Dd1c30QjR3rolaOYZGAAai79ZEqmb
6L3Rxnu3XWa0Ry/P5xuKR/XMPOFv5auFwCJomdoU5OjLQvDu9kXEc9bL8vyGT68RcANOVrVfPQD0
FCccF1bq93YcQAn/E7jzXy+AHIYQ2/O9v/rYbH9TmM8J0/m+TkHs2G8+AokznmeKHoFPf3r92Cex
+THugEmR+e6+82+H4LdufLoBV5V6CK7qn+v6d/UxVwBIKi0U9KCn17vb/HVMSm/d9HSmh7SiTYh7
L5/yx5mKbZ7RSqSFon7rpr3HIyC6358sO/92EdD5tmkVaRwmf3UdAPfqQHFsioI/f/zOloSpWnnj
CYgnwma6NnWIfzgH24SYSc1hb/j24d/jXcDW9eatQGdK4iABh4Twsiiy+H23JDhT85h6g5Xx5fXu
6sJvivu3HgZ1DoNIF6bZ1J+3+/fXgfuEvUMybP/zx+/raeA6YDH4Vrf/509EPBCGysdUJ7j79xdg
Ep5YKtP2byXB+yuKTobvnywb/3pZnCyJms047Y9H/8frwPZg0VBDePHyen8HxJcb4c0PhPG/Wbua
3rZhGPpXfNpxwIAdBgwo0K7AsrbJhi3DzmwkVIo/Usj2huzX78mSbNN2lmzssanzSFGOJJKP1GsU
u/t0Ld8fsS8ghuRL3mOE4B9WxgsSbz1PC63qCtXRuKyuO+5Q4CidfSARneYA4zodEFPYg1tcoxmg
Q8ra/33FghAdr2b0z8Sz6eTEr8cBzkUzWWlU6cOV1Y7czqDABvyvY1RzQyWIYNeVMo4We/B3gZBB
odkloH1o4K/4J+7/7DTxo/o/2BtryI2ZQOH8LtV2Re5IFY2B34R8kRjZlqdvOwh5eqmIOyrLNntF
5fP77J5qU1pmocgXkkq5J1eBB5lzI4VwiRgb72kxAe5CEFLgB8prQ+qX1s9sboOvK0VfkzLH5d9Q
SLFIBXxWFuqPNY+OihT4S6vandHOHRl44BPJwas9PXLgjoshBf5Ke6obQ4wK6LlJODNIsb/ZPLfs
wuJIMZMCb6m0RbYh1SYlfT1nDDJJwb83DbmlRTyyZaX4P3TdZDe6QkEq0z54SFL0NWExx4LVOPaO
R+6KFP1juwd6M9a7T3mJsQ9M4z6HJMXFrty3DtrY3eERs/up9sXANR9H5IKL5V14GY9w117b3wfH
rwMf3ArpGLa4Q63lb1AEx1FVCn5LCqck2B+/4CdMxop+6sIm3FiZHRNnUlln6r6lc0CVt9NEdR/w
eQEznevkItT9VhdmanRo/hZZW6nRL2nVJdT+A3YsZfH2mKTuUNH/ElsXumZS09h6JmGgOEit1O0z
lPuBsDEMBDuphDtsBSfx4SlK8bcaq+jT9IwPhzzmO6X4D6Rgn6Snn+BFYrJUzPJ6lF37VnP9zjFp
Ogd3G3Skd2hbh9wzyl/QcC7pecoRW/I3+wKQuReaqnyWvsZdbP/ErtDkrv4AAAD//w==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Aptos Narrow" panose="02110004020202020204"/>
          </a:endParaRPr>
        </a:p>
      </cx:txPr>
    </cx:legend>
  </cx:chart>
  <cx:spPr>
    <a:solidFill>
      <a:srgbClr val="720F35"/>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image" Target="../media/image7.sv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61911</xdr:colOff>
      <xdr:row>0</xdr:row>
      <xdr:rowOff>47625</xdr:rowOff>
    </xdr:from>
    <xdr:to>
      <xdr:col>34</xdr:col>
      <xdr:colOff>533400</xdr:colOff>
      <xdr:row>2</xdr:row>
      <xdr:rowOff>119062</xdr:rowOff>
    </xdr:to>
    <xdr:sp macro="" textlink="">
      <xdr:nvSpPr>
        <xdr:cNvPr id="3" name="TextBox 2">
          <a:extLst>
            <a:ext uri="{FF2B5EF4-FFF2-40B4-BE49-F238E27FC236}">
              <a16:creationId xmlns:a16="http://schemas.microsoft.com/office/drawing/2014/main" id="{8C4CECBC-6AD0-64FD-C945-9F010A93623D}"/>
            </a:ext>
          </a:extLst>
        </xdr:cNvPr>
        <xdr:cNvSpPr txBox="1"/>
      </xdr:nvSpPr>
      <xdr:spPr>
        <a:xfrm>
          <a:off x="61911" y="47625"/>
          <a:ext cx="21197889" cy="452437"/>
        </a:xfrm>
        <a:prstGeom prst="rect">
          <a:avLst/>
        </a:prstGeom>
        <a:gradFill>
          <a:gsLst>
            <a:gs pos="88000">
              <a:srgbClr val="670E2E"/>
            </a:gs>
            <a:gs pos="0">
              <a:srgbClr val="4A4A4A"/>
            </a:gs>
            <a:gs pos="50000">
              <a:srgbClr val="4A0018"/>
            </a:gs>
          </a:gsLst>
          <a:lin ang="0" scaled="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200" b="1">
              <a:solidFill>
                <a:schemeClr val="bg1"/>
              </a:solidFill>
              <a:latin typeface="Aptos" panose="020B0004020202020204" pitchFamily="34" charset="0"/>
            </a:rPr>
            <a:t>CUSTOMER TRANSACTION DASHBOARD</a:t>
          </a:r>
        </a:p>
      </xdr:txBody>
    </xdr:sp>
    <xdr:clientData/>
  </xdr:twoCellAnchor>
  <xdr:twoCellAnchor>
    <xdr:from>
      <xdr:col>0</xdr:col>
      <xdr:colOff>38101</xdr:colOff>
      <xdr:row>2</xdr:row>
      <xdr:rowOff>166687</xdr:rowOff>
    </xdr:from>
    <xdr:to>
      <xdr:col>34</xdr:col>
      <xdr:colOff>431801</xdr:colOff>
      <xdr:row>3</xdr:row>
      <xdr:rowOff>76200</xdr:rowOff>
    </xdr:to>
    <xdr:sp macro="" textlink="">
      <xdr:nvSpPr>
        <xdr:cNvPr id="4" name="Rectangle 3">
          <a:extLst>
            <a:ext uri="{FF2B5EF4-FFF2-40B4-BE49-F238E27FC236}">
              <a16:creationId xmlns:a16="http://schemas.microsoft.com/office/drawing/2014/main" id="{21E44896-DCE9-032C-5987-21FE989B68E8}"/>
            </a:ext>
          </a:extLst>
        </xdr:cNvPr>
        <xdr:cNvSpPr/>
      </xdr:nvSpPr>
      <xdr:spPr>
        <a:xfrm>
          <a:off x="38101" y="547687"/>
          <a:ext cx="21120100" cy="100013"/>
        </a:xfrm>
        <a:prstGeom prst="rect">
          <a:avLst/>
        </a:prstGeom>
        <a:gradFill flip="none" rotWithShape="1">
          <a:gsLst>
            <a:gs pos="917">
              <a:srgbClr val="4A4A4A"/>
            </a:gs>
            <a:gs pos="100000">
              <a:srgbClr val="670E2E"/>
            </a:gs>
            <a:gs pos="17000">
              <a:srgbClr val="4A4A4A"/>
            </a:gs>
            <a:gs pos="47000">
              <a:srgbClr val="4A0018"/>
            </a:gs>
          </a:gsLst>
          <a:lin ang="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73819</xdr:colOff>
      <xdr:row>3</xdr:row>
      <xdr:rowOff>178595</xdr:rowOff>
    </xdr:from>
    <xdr:to>
      <xdr:col>7</xdr:col>
      <xdr:colOff>323850</xdr:colOff>
      <xdr:row>13</xdr:row>
      <xdr:rowOff>71437</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DC79D935-DC95-48FC-918F-B90E1C045C1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3819" y="750095"/>
              <a:ext cx="4472781" cy="1797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419099</xdr:colOff>
      <xdr:row>3</xdr:row>
      <xdr:rowOff>178594</xdr:rowOff>
    </xdr:from>
    <xdr:to>
      <xdr:col>24</xdr:col>
      <xdr:colOff>300038</xdr:colOff>
      <xdr:row>12</xdr:row>
      <xdr:rowOff>25400</xdr:rowOff>
    </xdr:to>
    <mc:AlternateContent xmlns:mc="http://schemas.openxmlformats.org/markup-compatibility/2006">
      <mc:Choice xmlns:a14="http://schemas.microsoft.com/office/drawing/2010/main" Requires="a14">
        <xdr:graphicFrame macro="">
          <xdr:nvGraphicFramePr>
            <xdr:cNvPr id="2" name="Months (Date) 1">
              <a:extLst>
                <a:ext uri="{FF2B5EF4-FFF2-40B4-BE49-F238E27FC236}">
                  <a16:creationId xmlns:a16="http://schemas.microsoft.com/office/drawing/2014/main" id="{50D12B4B-5329-4CC4-972E-F27ECB0ACFBF}"/>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4641849" y="750094"/>
              <a:ext cx="10136189" cy="1561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50006</xdr:colOff>
      <xdr:row>30</xdr:row>
      <xdr:rowOff>154782</xdr:rowOff>
    </xdr:from>
    <xdr:to>
      <xdr:col>10</xdr:col>
      <xdr:colOff>264318</xdr:colOff>
      <xdr:row>49</xdr:row>
      <xdr:rowOff>52388</xdr:rowOff>
    </xdr:to>
    <xdr:graphicFrame macro="">
      <xdr:nvGraphicFramePr>
        <xdr:cNvPr id="7" name="Chart 6">
          <a:extLst>
            <a:ext uri="{FF2B5EF4-FFF2-40B4-BE49-F238E27FC236}">
              <a16:creationId xmlns:a16="http://schemas.microsoft.com/office/drawing/2014/main" id="{D5398D4C-6BED-42E3-8E4A-7BD3DFC30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260350</xdr:colOff>
      <xdr:row>13</xdr:row>
      <xdr:rowOff>137317</xdr:rowOff>
    </xdr:from>
    <xdr:to>
      <xdr:col>21</xdr:col>
      <xdr:colOff>177006</xdr:colOff>
      <xdr:row>29</xdr:row>
      <xdr:rowOff>173036</xdr:rowOff>
    </xdr:to>
    <xdr:graphicFrame macro="">
      <xdr:nvGraphicFramePr>
        <xdr:cNvPr id="8" name="Chart 7">
          <a:extLst>
            <a:ext uri="{FF2B5EF4-FFF2-40B4-BE49-F238E27FC236}">
              <a16:creationId xmlns:a16="http://schemas.microsoft.com/office/drawing/2014/main" id="{36834639-6396-40E1-9334-3C431EE73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383379</xdr:colOff>
      <xdr:row>30</xdr:row>
      <xdr:rowOff>166686</xdr:rowOff>
    </xdr:from>
    <xdr:to>
      <xdr:col>22</xdr:col>
      <xdr:colOff>490536</xdr:colOff>
      <xdr:row>49</xdr:row>
      <xdr:rowOff>59531</xdr:rowOff>
    </xdr:to>
    <xdr:graphicFrame macro="">
      <xdr:nvGraphicFramePr>
        <xdr:cNvPr id="9" name="Chart 8">
          <a:extLst>
            <a:ext uri="{FF2B5EF4-FFF2-40B4-BE49-F238E27FC236}">
              <a16:creationId xmlns:a16="http://schemas.microsoft.com/office/drawing/2014/main" id="{43DCC016-24F1-49BB-8213-05E9DE1E9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23813</xdr:colOff>
      <xdr:row>30</xdr:row>
      <xdr:rowOff>178595</xdr:rowOff>
    </xdr:from>
    <xdr:to>
      <xdr:col>34</xdr:col>
      <xdr:colOff>371474</xdr:colOff>
      <xdr:row>49</xdr:row>
      <xdr:rowOff>38100</xdr:rowOff>
    </xdr:to>
    <xdr:graphicFrame macro="">
      <xdr:nvGraphicFramePr>
        <xdr:cNvPr id="10" name="Chart 9">
          <a:extLst>
            <a:ext uri="{FF2B5EF4-FFF2-40B4-BE49-F238E27FC236}">
              <a16:creationId xmlns:a16="http://schemas.microsoft.com/office/drawing/2014/main" id="{51BF67A7-8820-4627-B5D4-0F252A993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24</xdr:col>
      <xdr:colOff>359568</xdr:colOff>
      <xdr:row>3</xdr:row>
      <xdr:rowOff>178594</xdr:rowOff>
    </xdr:from>
    <xdr:to>
      <xdr:col>33</xdr:col>
      <xdr:colOff>11905</xdr:colOff>
      <xdr:row>13</xdr:row>
      <xdr:rowOff>47625</xdr:rowOff>
    </xdr:to>
    <mc:AlternateContent xmlns:mc="http://schemas.openxmlformats.org/markup-compatibility/2006">
      <mc:Choice xmlns:sle15="http://schemas.microsoft.com/office/drawing/2012/slicer" Requires="sle15">
        <xdr:graphicFrame macro="">
          <xdr:nvGraphicFramePr>
            <xdr:cNvPr id="11" name="Category 1">
              <a:extLst>
                <a:ext uri="{FF2B5EF4-FFF2-40B4-BE49-F238E27FC236}">
                  <a16:creationId xmlns:a16="http://schemas.microsoft.com/office/drawing/2014/main" id="{AD596D8A-1536-49C5-9DA9-A172AC33CD5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837568" y="750094"/>
              <a:ext cx="5081587" cy="177403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38100</xdr:colOff>
      <xdr:row>12</xdr:row>
      <xdr:rowOff>0</xdr:rowOff>
    </xdr:from>
    <xdr:to>
      <xdr:col>34</xdr:col>
      <xdr:colOff>444499</xdr:colOff>
      <xdr:row>12</xdr:row>
      <xdr:rowOff>127000</xdr:rowOff>
    </xdr:to>
    <xdr:sp macro="" textlink="">
      <xdr:nvSpPr>
        <xdr:cNvPr id="12" name="Rectangle 11">
          <a:extLst>
            <a:ext uri="{FF2B5EF4-FFF2-40B4-BE49-F238E27FC236}">
              <a16:creationId xmlns:a16="http://schemas.microsoft.com/office/drawing/2014/main" id="{B938FB13-C23D-4DDE-B4A2-1688C37DFE04}"/>
            </a:ext>
          </a:extLst>
        </xdr:cNvPr>
        <xdr:cNvSpPr/>
      </xdr:nvSpPr>
      <xdr:spPr>
        <a:xfrm>
          <a:off x="38100" y="2286000"/>
          <a:ext cx="21132799" cy="127000"/>
        </a:xfrm>
        <a:prstGeom prst="rect">
          <a:avLst/>
        </a:prstGeom>
        <a:solidFill>
          <a:srgbClr val="720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12</xdr:row>
      <xdr:rowOff>177800</xdr:rowOff>
    </xdr:from>
    <xdr:to>
      <xdr:col>5</xdr:col>
      <xdr:colOff>317500</xdr:colOff>
      <xdr:row>30</xdr:row>
      <xdr:rowOff>25400</xdr:rowOff>
    </xdr:to>
    <xdr:sp macro="" textlink="">
      <xdr:nvSpPr>
        <xdr:cNvPr id="13" name="Rectangle: Rounded Corners 12">
          <a:extLst>
            <a:ext uri="{FF2B5EF4-FFF2-40B4-BE49-F238E27FC236}">
              <a16:creationId xmlns:a16="http://schemas.microsoft.com/office/drawing/2014/main" id="{B145E5A1-0B22-33F5-B43F-6BEB03E7FC09}"/>
            </a:ext>
          </a:extLst>
        </xdr:cNvPr>
        <xdr:cNvSpPr/>
      </xdr:nvSpPr>
      <xdr:spPr>
        <a:xfrm>
          <a:off x="38100" y="2463800"/>
          <a:ext cx="3327400" cy="3276600"/>
        </a:xfrm>
        <a:prstGeom prst="roundRect">
          <a:avLst/>
        </a:prstGeom>
        <a:solidFill>
          <a:srgbClr val="720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a:p>
      </xdr:txBody>
    </xdr:sp>
    <xdr:clientData/>
  </xdr:twoCellAnchor>
  <xdr:twoCellAnchor>
    <xdr:from>
      <xdr:col>1</xdr:col>
      <xdr:colOff>355600</xdr:colOff>
      <xdr:row>26</xdr:row>
      <xdr:rowOff>101600</xdr:rowOff>
    </xdr:from>
    <xdr:to>
      <xdr:col>4</xdr:col>
      <xdr:colOff>152400</xdr:colOff>
      <xdr:row>28</xdr:row>
      <xdr:rowOff>177800</xdr:rowOff>
    </xdr:to>
    <xdr:sp macro="" textlink="PIVOT_TABLES!U2">
      <xdr:nvSpPr>
        <xdr:cNvPr id="16" name="TextBox 15">
          <a:extLst>
            <a:ext uri="{FF2B5EF4-FFF2-40B4-BE49-F238E27FC236}">
              <a16:creationId xmlns:a16="http://schemas.microsoft.com/office/drawing/2014/main" id="{3528282D-4B60-4526-4DD5-6D4EA0EA0CB1}"/>
            </a:ext>
          </a:extLst>
        </xdr:cNvPr>
        <xdr:cNvSpPr txBox="1"/>
      </xdr:nvSpPr>
      <xdr:spPr>
        <a:xfrm>
          <a:off x="965200" y="5054600"/>
          <a:ext cx="16256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BE3EC0-21F6-4D43-8628-E69390EAF2FE}" type="TxLink">
            <a:rPr lang="en-US" sz="2000" b="1" i="0" u="none" strike="noStrike">
              <a:solidFill>
                <a:schemeClr val="bg1"/>
              </a:solidFill>
              <a:latin typeface="Aptos Narrow"/>
            </a:rPr>
            <a:pPr/>
            <a:t>$229,442.5</a:t>
          </a:fld>
          <a:endParaRPr lang="en-US" sz="2000" b="1">
            <a:solidFill>
              <a:schemeClr val="bg1"/>
            </a:solidFill>
          </a:endParaRPr>
        </a:p>
      </xdr:txBody>
    </xdr:sp>
    <xdr:clientData/>
  </xdr:twoCellAnchor>
  <xdr:twoCellAnchor>
    <xdr:from>
      <xdr:col>1</xdr:col>
      <xdr:colOff>406400</xdr:colOff>
      <xdr:row>16</xdr:row>
      <xdr:rowOff>165100</xdr:rowOff>
    </xdr:from>
    <xdr:to>
      <xdr:col>3</xdr:col>
      <xdr:colOff>254000</xdr:colOff>
      <xdr:row>18</xdr:row>
      <xdr:rowOff>101600</xdr:rowOff>
    </xdr:to>
    <xdr:sp macro="" textlink="PIVOT_TABLES!X2">
      <xdr:nvSpPr>
        <xdr:cNvPr id="17" name="TextBox 16">
          <a:extLst>
            <a:ext uri="{FF2B5EF4-FFF2-40B4-BE49-F238E27FC236}">
              <a16:creationId xmlns:a16="http://schemas.microsoft.com/office/drawing/2014/main" id="{B42C3327-D7AE-6CE6-CC30-A5B952F43009}"/>
            </a:ext>
          </a:extLst>
        </xdr:cNvPr>
        <xdr:cNvSpPr txBox="1"/>
      </xdr:nvSpPr>
      <xdr:spPr>
        <a:xfrm>
          <a:off x="1016000" y="3213100"/>
          <a:ext cx="1066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840764-C045-443A-9ED6-1F8885CAD3F0}" type="TxLink">
            <a:rPr lang="en-US" sz="1100" b="0" i="0" u="none" strike="noStrike">
              <a:solidFill>
                <a:srgbClr val="000000"/>
              </a:solidFill>
              <a:latin typeface="Aptos Narrow"/>
            </a:rPr>
            <a:pPr/>
            <a:t> </a:t>
          </a:fld>
          <a:endParaRPr lang="en-US" sz="1100"/>
        </a:p>
      </xdr:txBody>
    </xdr:sp>
    <xdr:clientData/>
  </xdr:twoCellAnchor>
  <xdr:twoCellAnchor editAs="oneCell">
    <xdr:from>
      <xdr:col>1</xdr:col>
      <xdr:colOff>330200</xdr:colOff>
      <xdr:row>14</xdr:row>
      <xdr:rowOff>101600</xdr:rowOff>
    </xdr:from>
    <xdr:to>
      <xdr:col>4</xdr:col>
      <xdr:colOff>88900</xdr:colOff>
      <xdr:row>22</xdr:row>
      <xdr:rowOff>165100</xdr:rowOff>
    </xdr:to>
    <xdr:pic>
      <xdr:nvPicPr>
        <xdr:cNvPr id="18" name="Picture 17">
          <a:extLst>
            <a:ext uri="{FF2B5EF4-FFF2-40B4-BE49-F238E27FC236}">
              <a16:creationId xmlns:a16="http://schemas.microsoft.com/office/drawing/2014/main" id="{034F6C49-A1A2-C647-027F-56383C32911E}"/>
            </a:ext>
          </a:extLst>
        </xdr:cNvPr>
        <xdr:cNvPicPr>
          <a:picLocks noChangeAspect="1"/>
        </xdr:cNvPicPr>
      </xdr:nvPicPr>
      <xdr:blipFill>
        <a:blip xmlns:r="http://schemas.openxmlformats.org/officeDocument/2006/relationships" r:embed="rId5"/>
        <a:stretch>
          <a:fillRect/>
        </a:stretch>
      </xdr:blipFill>
      <xdr:spPr>
        <a:xfrm>
          <a:off x="939800" y="2768600"/>
          <a:ext cx="1587500" cy="1587500"/>
        </a:xfrm>
        <a:prstGeom prst="rect">
          <a:avLst/>
        </a:prstGeom>
      </xdr:spPr>
    </xdr:pic>
    <xdr:clientData/>
  </xdr:twoCellAnchor>
  <xdr:twoCellAnchor>
    <xdr:from>
      <xdr:col>0</xdr:col>
      <xdr:colOff>596900</xdr:colOff>
      <xdr:row>24</xdr:row>
      <xdr:rowOff>25400</xdr:rowOff>
    </xdr:from>
    <xdr:to>
      <xdr:col>4</xdr:col>
      <xdr:colOff>342900</xdr:colOff>
      <xdr:row>27</xdr:row>
      <xdr:rowOff>63500</xdr:rowOff>
    </xdr:to>
    <xdr:sp macro="" textlink="">
      <xdr:nvSpPr>
        <xdr:cNvPr id="20" name="TextBox 19">
          <a:extLst>
            <a:ext uri="{FF2B5EF4-FFF2-40B4-BE49-F238E27FC236}">
              <a16:creationId xmlns:a16="http://schemas.microsoft.com/office/drawing/2014/main" id="{706B65D4-ADE8-B37D-AB5F-2C693D037F5D}"/>
            </a:ext>
          </a:extLst>
        </xdr:cNvPr>
        <xdr:cNvSpPr txBox="1"/>
      </xdr:nvSpPr>
      <xdr:spPr>
        <a:xfrm>
          <a:off x="596900" y="4597400"/>
          <a:ext cx="21844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TOTAL REVENUE</a:t>
          </a:r>
          <a:endParaRPr lang="en-US" sz="2000" b="1">
            <a:solidFill>
              <a:schemeClr val="bg1"/>
            </a:solidFill>
            <a:effectLst/>
          </a:endParaRPr>
        </a:p>
        <a:p>
          <a:pPr algn="ctr"/>
          <a:endParaRPr lang="en-US" sz="2000" b="1">
            <a:solidFill>
              <a:schemeClr val="bg1"/>
            </a:solidFill>
          </a:endParaRPr>
        </a:p>
      </xdr:txBody>
    </xdr:sp>
    <xdr:clientData/>
  </xdr:twoCellAnchor>
  <xdr:twoCellAnchor>
    <xdr:from>
      <xdr:col>5</xdr:col>
      <xdr:colOff>508000</xdr:colOff>
      <xdr:row>13</xdr:row>
      <xdr:rowOff>0</xdr:rowOff>
    </xdr:from>
    <xdr:to>
      <xdr:col>12</xdr:col>
      <xdr:colOff>88900</xdr:colOff>
      <xdr:row>30</xdr:row>
      <xdr:rowOff>25400</xdr:rowOff>
    </xdr:to>
    <xdr:sp macro="" textlink="">
      <xdr:nvSpPr>
        <xdr:cNvPr id="6" name="Rectangle: Rounded Corners 5">
          <a:extLst>
            <a:ext uri="{FF2B5EF4-FFF2-40B4-BE49-F238E27FC236}">
              <a16:creationId xmlns:a16="http://schemas.microsoft.com/office/drawing/2014/main" id="{4AB4B290-989E-D846-C3C6-F2017A7CD7D1}"/>
            </a:ext>
          </a:extLst>
        </xdr:cNvPr>
        <xdr:cNvSpPr/>
      </xdr:nvSpPr>
      <xdr:spPr>
        <a:xfrm>
          <a:off x="3556000" y="2476500"/>
          <a:ext cx="3848100" cy="3263900"/>
        </a:xfrm>
        <a:prstGeom prst="roundRect">
          <a:avLst/>
        </a:prstGeom>
        <a:solidFill>
          <a:srgbClr val="720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13</xdr:row>
      <xdr:rowOff>152400</xdr:rowOff>
    </xdr:from>
    <xdr:to>
      <xdr:col>10</xdr:col>
      <xdr:colOff>279400</xdr:colOff>
      <xdr:row>16</xdr:row>
      <xdr:rowOff>152400</xdr:rowOff>
    </xdr:to>
    <xdr:sp macro="" textlink="">
      <xdr:nvSpPr>
        <xdr:cNvPr id="15" name="TextBox 14">
          <a:extLst>
            <a:ext uri="{FF2B5EF4-FFF2-40B4-BE49-F238E27FC236}">
              <a16:creationId xmlns:a16="http://schemas.microsoft.com/office/drawing/2014/main" id="{92DCF810-79E2-A77C-72FA-4196AA48E31E}"/>
            </a:ext>
          </a:extLst>
        </xdr:cNvPr>
        <xdr:cNvSpPr txBox="1"/>
      </xdr:nvSpPr>
      <xdr:spPr>
        <a:xfrm>
          <a:off x="3810000" y="2628900"/>
          <a:ext cx="25654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TOP 3 CUSTOMERS</a:t>
          </a:r>
        </a:p>
      </xdr:txBody>
    </xdr:sp>
    <xdr:clientData/>
  </xdr:twoCellAnchor>
  <xdr:twoCellAnchor>
    <xdr:from>
      <xdr:col>5</xdr:col>
      <xdr:colOff>584200</xdr:colOff>
      <xdr:row>18</xdr:row>
      <xdr:rowOff>63500</xdr:rowOff>
    </xdr:from>
    <xdr:to>
      <xdr:col>8</xdr:col>
      <xdr:colOff>342900</xdr:colOff>
      <xdr:row>20</xdr:row>
      <xdr:rowOff>25400</xdr:rowOff>
    </xdr:to>
    <xdr:sp macro="" textlink="'HIGH VALUE CUSTOMERS'!K3">
      <xdr:nvSpPr>
        <xdr:cNvPr id="19" name="TextBox 18">
          <a:extLst>
            <a:ext uri="{FF2B5EF4-FFF2-40B4-BE49-F238E27FC236}">
              <a16:creationId xmlns:a16="http://schemas.microsoft.com/office/drawing/2014/main" id="{B759D301-4FD7-E4D9-7743-CE3DE955F6CD}"/>
            </a:ext>
          </a:extLst>
        </xdr:cNvPr>
        <xdr:cNvSpPr txBox="1"/>
      </xdr:nvSpPr>
      <xdr:spPr>
        <a:xfrm>
          <a:off x="3632200" y="3492500"/>
          <a:ext cx="1587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57669D-3C10-4AEC-BC75-D0F17D732443}" type="TxLink">
            <a:rPr lang="en-US" sz="1800" b="1" i="0" u="none" strike="noStrike">
              <a:solidFill>
                <a:schemeClr val="bg1"/>
              </a:solidFill>
              <a:latin typeface="Aptos Narrow"/>
            </a:rPr>
            <a:pPr algn="ctr"/>
            <a:t>Mark Carter</a:t>
          </a:fld>
          <a:endParaRPr lang="en-US" sz="1800" b="1">
            <a:solidFill>
              <a:schemeClr val="bg1"/>
            </a:solidFill>
          </a:endParaRPr>
        </a:p>
      </xdr:txBody>
    </xdr:sp>
    <xdr:clientData/>
  </xdr:twoCellAnchor>
  <xdr:twoCellAnchor>
    <xdr:from>
      <xdr:col>9</xdr:col>
      <xdr:colOff>317500</xdr:colOff>
      <xdr:row>18</xdr:row>
      <xdr:rowOff>114300</xdr:rowOff>
    </xdr:from>
    <xdr:to>
      <xdr:col>12</xdr:col>
      <xdr:colOff>76200</xdr:colOff>
      <xdr:row>20</xdr:row>
      <xdr:rowOff>76200</xdr:rowOff>
    </xdr:to>
    <xdr:sp macro="" textlink="'HIGH VALUE CUSTOMERS'!L3">
      <xdr:nvSpPr>
        <xdr:cNvPr id="21" name="TextBox 20">
          <a:extLst>
            <a:ext uri="{FF2B5EF4-FFF2-40B4-BE49-F238E27FC236}">
              <a16:creationId xmlns:a16="http://schemas.microsoft.com/office/drawing/2014/main" id="{8895A520-2FEE-4D5D-A2C1-136D807C6E40}"/>
            </a:ext>
          </a:extLst>
        </xdr:cNvPr>
        <xdr:cNvSpPr txBox="1"/>
      </xdr:nvSpPr>
      <xdr:spPr>
        <a:xfrm>
          <a:off x="5803900" y="3543300"/>
          <a:ext cx="1587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80020B-66E2-451F-8BD4-62FBF47EAB76}" type="TxLink">
            <a:rPr lang="en-US" sz="1600" b="1" i="0" u="none" strike="noStrike">
              <a:solidFill>
                <a:schemeClr val="bg1"/>
              </a:solidFill>
              <a:latin typeface="Aptos Narrow"/>
            </a:rPr>
            <a:pPr algn="ctr"/>
            <a:t>$15,659.7</a:t>
          </a:fld>
          <a:endParaRPr lang="en-US" sz="1600" b="1">
            <a:solidFill>
              <a:schemeClr val="bg1"/>
            </a:solidFill>
          </a:endParaRPr>
        </a:p>
      </xdr:txBody>
    </xdr:sp>
    <xdr:clientData/>
  </xdr:twoCellAnchor>
  <xdr:twoCellAnchor>
    <xdr:from>
      <xdr:col>5</xdr:col>
      <xdr:colOff>520700</xdr:colOff>
      <xdr:row>21</xdr:row>
      <xdr:rowOff>127000</xdr:rowOff>
    </xdr:from>
    <xdr:to>
      <xdr:col>8</xdr:col>
      <xdr:colOff>444500</xdr:colOff>
      <xdr:row>23</xdr:row>
      <xdr:rowOff>127000</xdr:rowOff>
    </xdr:to>
    <xdr:sp macro="" textlink="'HIGH VALUE CUSTOMERS'!K4">
      <xdr:nvSpPr>
        <xdr:cNvPr id="22" name="TextBox 21">
          <a:extLst>
            <a:ext uri="{FF2B5EF4-FFF2-40B4-BE49-F238E27FC236}">
              <a16:creationId xmlns:a16="http://schemas.microsoft.com/office/drawing/2014/main" id="{CE282A88-653F-4E88-AADC-B512DFEE5C4D}"/>
            </a:ext>
          </a:extLst>
        </xdr:cNvPr>
        <xdr:cNvSpPr txBox="1"/>
      </xdr:nvSpPr>
      <xdr:spPr>
        <a:xfrm>
          <a:off x="3568700" y="4127500"/>
          <a:ext cx="175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BA4994-0BBC-4945-9680-2A2F8B81F188}" type="TxLink">
            <a:rPr lang="en-US" sz="1800" b="1" i="0" u="none" strike="noStrike">
              <a:solidFill>
                <a:schemeClr val="bg1"/>
              </a:solidFill>
              <a:latin typeface="Aptos Narrow"/>
            </a:rPr>
            <a:pPr algn="ctr"/>
            <a:t>Edward Mitchell</a:t>
          </a:fld>
          <a:endParaRPr lang="en-US" sz="1800" b="1" i="0" u="none" strike="noStrike">
            <a:solidFill>
              <a:schemeClr val="bg1"/>
            </a:solidFill>
            <a:latin typeface="Aptos Narrow"/>
          </a:endParaRPr>
        </a:p>
      </xdr:txBody>
    </xdr:sp>
    <xdr:clientData/>
  </xdr:twoCellAnchor>
  <xdr:twoCellAnchor>
    <xdr:from>
      <xdr:col>9</xdr:col>
      <xdr:colOff>342900</xdr:colOff>
      <xdr:row>21</xdr:row>
      <xdr:rowOff>139700</xdr:rowOff>
    </xdr:from>
    <xdr:to>
      <xdr:col>12</xdr:col>
      <xdr:colOff>101600</xdr:colOff>
      <xdr:row>23</xdr:row>
      <xdr:rowOff>101600</xdr:rowOff>
    </xdr:to>
    <xdr:sp macro="" textlink="'HIGH VALUE CUSTOMERS'!L4">
      <xdr:nvSpPr>
        <xdr:cNvPr id="23" name="TextBox 22">
          <a:extLst>
            <a:ext uri="{FF2B5EF4-FFF2-40B4-BE49-F238E27FC236}">
              <a16:creationId xmlns:a16="http://schemas.microsoft.com/office/drawing/2014/main" id="{B1D93A65-18EB-45DB-8C71-060AB4C99D87}"/>
            </a:ext>
          </a:extLst>
        </xdr:cNvPr>
        <xdr:cNvSpPr txBox="1"/>
      </xdr:nvSpPr>
      <xdr:spPr>
        <a:xfrm>
          <a:off x="5772150" y="4140200"/>
          <a:ext cx="1568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3B33C8-AC64-4E9D-8552-85F01FEBF12B}" type="TxLink">
            <a:rPr lang="en-US" sz="1600" b="1" i="0" u="none" strike="noStrike">
              <a:solidFill>
                <a:schemeClr val="bg1"/>
              </a:solidFill>
              <a:latin typeface="Aptos Narrow"/>
            </a:rPr>
            <a:pPr algn="ctr"/>
            <a:t>$11,919.8</a:t>
          </a:fld>
          <a:endParaRPr lang="en-US" sz="1600" b="1" i="0" u="none" strike="noStrike">
            <a:solidFill>
              <a:schemeClr val="bg1"/>
            </a:solidFill>
            <a:latin typeface="Aptos Narrow"/>
          </a:endParaRPr>
        </a:p>
      </xdr:txBody>
    </xdr:sp>
    <xdr:clientData/>
  </xdr:twoCellAnchor>
  <xdr:twoCellAnchor>
    <xdr:from>
      <xdr:col>5</xdr:col>
      <xdr:colOff>571500</xdr:colOff>
      <xdr:row>24</xdr:row>
      <xdr:rowOff>177800</xdr:rowOff>
    </xdr:from>
    <xdr:to>
      <xdr:col>8</xdr:col>
      <xdr:colOff>330200</xdr:colOff>
      <xdr:row>26</xdr:row>
      <xdr:rowOff>139700</xdr:rowOff>
    </xdr:to>
    <xdr:sp macro="" textlink="'HIGH VALUE CUSTOMERS'!K5">
      <xdr:nvSpPr>
        <xdr:cNvPr id="24" name="TextBox 23">
          <a:extLst>
            <a:ext uri="{FF2B5EF4-FFF2-40B4-BE49-F238E27FC236}">
              <a16:creationId xmlns:a16="http://schemas.microsoft.com/office/drawing/2014/main" id="{DCFC791A-D833-422A-A33F-4CC908CF91B2}"/>
            </a:ext>
          </a:extLst>
        </xdr:cNvPr>
        <xdr:cNvSpPr txBox="1"/>
      </xdr:nvSpPr>
      <xdr:spPr>
        <a:xfrm>
          <a:off x="3619500" y="4749800"/>
          <a:ext cx="1587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6EC601-279A-49BC-8B5E-3D736B85EB2C}" type="TxLink">
            <a:rPr lang="en-US" sz="1800" b="1" i="0" u="none" strike="noStrike">
              <a:solidFill>
                <a:schemeClr val="bg1"/>
              </a:solidFill>
              <a:latin typeface="Aptos Narrow"/>
            </a:rPr>
            <a:t>Barbara Young</a:t>
          </a:fld>
          <a:endParaRPr lang="en-US" sz="1800" b="1" i="0" u="none" strike="noStrike">
            <a:solidFill>
              <a:schemeClr val="bg1"/>
            </a:solidFill>
            <a:latin typeface="Aptos Narrow"/>
          </a:endParaRPr>
        </a:p>
      </xdr:txBody>
    </xdr:sp>
    <xdr:clientData/>
  </xdr:twoCellAnchor>
  <xdr:twoCellAnchor>
    <xdr:from>
      <xdr:col>9</xdr:col>
      <xdr:colOff>304800</xdr:colOff>
      <xdr:row>25</xdr:row>
      <xdr:rowOff>12700</xdr:rowOff>
    </xdr:from>
    <xdr:to>
      <xdr:col>12</xdr:col>
      <xdr:colOff>63500</xdr:colOff>
      <xdr:row>26</xdr:row>
      <xdr:rowOff>165100</xdr:rowOff>
    </xdr:to>
    <xdr:sp macro="" textlink="'HIGH VALUE CUSTOMERS'!L5">
      <xdr:nvSpPr>
        <xdr:cNvPr id="25" name="TextBox 24">
          <a:extLst>
            <a:ext uri="{FF2B5EF4-FFF2-40B4-BE49-F238E27FC236}">
              <a16:creationId xmlns:a16="http://schemas.microsoft.com/office/drawing/2014/main" id="{29AC2541-DFF9-431B-9A65-8BCCAE47E2FB}"/>
            </a:ext>
          </a:extLst>
        </xdr:cNvPr>
        <xdr:cNvSpPr txBox="1"/>
      </xdr:nvSpPr>
      <xdr:spPr>
        <a:xfrm>
          <a:off x="5791200" y="4775200"/>
          <a:ext cx="15875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18AAE5-3D14-4385-9295-6F3092A5C683}" type="TxLink">
            <a:rPr lang="en-US" sz="1600" b="1" i="0" u="none" strike="noStrike">
              <a:solidFill>
                <a:schemeClr val="bg1"/>
              </a:solidFill>
              <a:latin typeface="Aptos Narrow"/>
            </a:rPr>
            <a:pPr algn="ctr"/>
            <a:t>$10,649.8</a:t>
          </a:fld>
          <a:endParaRPr lang="en-US" sz="1600" b="1" i="0" u="none" strike="noStrike">
            <a:solidFill>
              <a:schemeClr val="bg1"/>
            </a:solidFill>
            <a:latin typeface="Aptos Narrow"/>
          </a:endParaRPr>
        </a:p>
      </xdr:txBody>
    </xdr:sp>
    <xdr:clientData/>
  </xdr:twoCellAnchor>
  <xdr:twoCellAnchor editAs="oneCell">
    <xdr:from>
      <xdr:col>10</xdr:col>
      <xdr:colOff>76200</xdr:colOff>
      <xdr:row>12</xdr:row>
      <xdr:rowOff>177800</xdr:rowOff>
    </xdr:from>
    <xdr:to>
      <xdr:col>11</xdr:col>
      <xdr:colOff>268459</xdr:colOff>
      <xdr:row>16</xdr:row>
      <xdr:rowOff>139700</xdr:rowOff>
    </xdr:to>
    <xdr:pic>
      <xdr:nvPicPr>
        <xdr:cNvPr id="27" name="Graphic 26" descr="User with solid fill">
          <a:extLst>
            <a:ext uri="{FF2B5EF4-FFF2-40B4-BE49-F238E27FC236}">
              <a16:creationId xmlns:a16="http://schemas.microsoft.com/office/drawing/2014/main" id="{87DC833F-3BBF-3FFD-F4D2-CD53B9E6650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72200" y="2463800"/>
          <a:ext cx="801859" cy="723900"/>
        </a:xfrm>
        <a:prstGeom prst="rect">
          <a:avLst/>
        </a:prstGeom>
      </xdr:spPr>
    </xdr:pic>
    <xdr:clientData/>
  </xdr:twoCellAnchor>
  <xdr:twoCellAnchor>
    <xdr:from>
      <xdr:col>8</xdr:col>
      <xdr:colOff>266700</xdr:colOff>
      <xdr:row>18</xdr:row>
      <xdr:rowOff>114300</xdr:rowOff>
    </xdr:from>
    <xdr:to>
      <xdr:col>9</xdr:col>
      <xdr:colOff>571500</xdr:colOff>
      <xdr:row>20</xdr:row>
      <xdr:rowOff>88900</xdr:rowOff>
    </xdr:to>
    <xdr:sp macro="" textlink="">
      <xdr:nvSpPr>
        <xdr:cNvPr id="30" name="Arrow: Right 29">
          <a:extLst>
            <a:ext uri="{FF2B5EF4-FFF2-40B4-BE49-F238E27FC236}">
              <a16:creationId xmlns:a16="http://schemas.microsoft.com/office/drawing/2014/main" id="{69DB64C0-2EF3-9250-A984-796059C11C9C}"/>
            </a:ext>
          </a:extLst>
        </xdr:cNvPr>
        <xdr:cNvSpPr/>
      </xdr:nvSpPr>
      <xdr:spPr>
        <a:xfrm>
          <a:off x="5143500" y="3543300"/>
          <a:ext cx="914400" cy="355600"/>
        </a:xfrm>
        <a:prstGeom prst="rightArrow">
          <a:avLst/>
        </a:prstGeom>
        <a:gradFill>
          <a:gsLst>
            <a:gs pos="0">
              <a:srgbClr val="4A4A4A"/>
            </a:gs>
            <a:gs pos="43000">
              <a:srgbClr val="4A0018"/>
            </a:gs>
            <a:gs pos="100000">
              <a:srgbClr val="4A4A4A"/>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444500</xdr:colOff>
      <xdr:row>21</xdr:row>
      <xdr:rowOff>127000</xdr:rowOff>
    </xdr:from>
    <xdr:to>
      <xdr:col>10</xdr:col>
      <xdr:colOff>38100</xdr:colOff>
      <xdr:row>23</xdr:row>
      <xdr:rowOff>127000</xdr:rowOff>
    </xdr:to>
    <xdr:sp macro="" textlink="">
      <xdr:nvSpPr>
        <xdr:cNvPr id="33" name="Arrow: Right 32">
          <a:extLst>
            <a:ext uri="{FF2B5EF4-FFF2-40B4-BE49-F238E27FC236}">
              <a16:creationId xmlns:a16="http://schemas.microsoft.com/office/drawing/2014/main" id="{FF94015C-34EF-43F1-A522-DEA7480A6663}"/>
            </a:ext>
          </a:extLst>
        </xdr:cNvPr>
        <xdr:cNvSpPr/>
      </xdr:nvSpPr>
      <xdr:spPr>
        <a:xfrm>
          <a:off x="5321300" y="4127500"/>
          <a:ext cx="812800" cy="381000"/>
        </a:xfrm>
        <a:prstGeom prst="rightArrow">
          <a:avLst/>
        </a:prstGeom>
        <a:gradFill>
          <a:gsLst>
            <a:gs pos="0">
              <a:srgbClr val="4A4A4A"/>
            </a:gs>
            <a:gs pos="43000">
              <a:srgbClr val="4A0018"/>
            </a:gs>
            <a:gs pos="100000">
              <a:srgbClr val="4A4A4A"/>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330200</xdr:colOff>
      <xdr:row>25</xdr:row>
      <xdr:rowOff>0</xdr:rowOff>
    </xdr:from>
    <xdr:to>
      <xdr:col>9</xdr:col>
      <xdr:colOff>584200</xdr:colOff>
      <xdr:row>26</xdr:row>
      <xdr:rowOff>165100</xdr:rowOff>
    </xdr:to>
    <xdr:sp macro="" textlink="">
      <xdr:nvSpPr>
        <xdr:cNvPr id="34" name="Arrow: Right 33">
          <a:extLst>
            <a:ext uri="{FF2B5EF4-FFF2-40B4-BE49-F238E27FC236}">
              <a16:creationId xmlns:a16="http://schemas.microsoft.com/office/drawing/2014/main" id="{14120EF2-84FB-41EA-B932-44B168DFEDB2}"/>
            </a:ext>
          </a:extLst>
        </xdr:cNvPr>
        <xdr:cNvSpPr/>
      </xdr:nvSpPr>
      <xdr:spPr>
        <a:xfrm>
          <a:off x="5207000" y="4762500"/>
          <a:ext cx="863600" cy="355600"/>
        </a:xfrm>
        <a:prstGeom prst="rightArrow">
          <a:avLst/>
        </a:prstGeom>
        <a:gradFill>
          <a:gsLst>
            <a:gs pos="0">
              <a:srgbClr val="4A4A4A"/>
            </a:gs>
            <a:gs pos="43000">
              <a:srgbClr val="4A0018"/>
            </a:gs>
            <a:gs pos="100000">
              <a:srgbClr val="4A4A4A"/>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317501</xdr:colOff>
      <xdr:row>13</xdr:row>
      <xdr:rowOff>165100</xdr:rowOff>
    </xdr:from>
    <xdr:to>
      <xdr:col>33</xdr:col>
      <xdr:colOff>552451</xdr:colOff>
      <xdr:row>29</xdr:row>
      <xdr:rowOff>171450</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D24FCA21-D257-4F66-9A2A-1B4306E5CC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119101" y="2641600"/>
              <a:ext cx="7550150" cy="3054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133350</xdr:colOff>
      <xdr:row>0</xdr:row>
      <xdr:rowOff>80961</xdr:rowOff>
    </xdr:from>
    <xdr:to>
      <xdr:col>10</xdr:col>
      <xdr:colOff>419100</xdr:colOff>
      <xdr:row>17</xdr:row>
      <xdr:rowOff>180974</xdr:rowOff>
    </xdr:to>
    <xdr:graphicFrame macro="">
      <xdr:nvGraphicFramePr>
        <xdr:cNvPr id="3" name="Chart 2">
          <a:extLst>
            <a:ext uri="{FF2B5EF4-FFF2-40B4-BE49-F238E27FC236}">
              <a16:creationId xmlns:a16="http://schemas.microsoft.com/office/drawing/2014/main" id="{837B7058-3C54-8BE6-95BA-A27D31E86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161925</xdr:colOff>
      <xdr:row>18</xdr:row>
      <xdr:rowOff>52387</xdr:rowOff>
    </xdr:from>
    <xdr:to>
      <xdr:col>9</xdr:col>
      <xdr:colOff>466725</xdr:colOff>
      <xdr:row>32</xdr:row>
      <xdr:rowOff>128587</xdr:rowOff>
    </xdr:to>
    <xdr:graphicFrame macro="">
      <xdr:nvGraphicFramePr>
        <xdr:cNvPr id="2" name="Chart 1">
          <a:extLst>
            <a:ext uri="{FF2B5EF4-FFF2-40B4-BE49-F238E27FC236}">
              <a16:creationId xmlns:a16="http://schemas.microsoft.com/office/drawing/2014/main" id="{A2DBC88B-1FA7-F3FC-7373-271E63544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538161</xdr:colOff>
      <xdr:row>0</xdr:row>
      <xdr:rowOff>128587</xdr:rowOff>
    </xdr:from>
    <xdr:to>
      <xdr:col>19</xdr:col>
      <xdr:colOff>66674</xdr:colOff>
      <xdr:row>16</xdr:row>
      <xdr:rowOff>66675</xdr:rowOff>
    </xdr:to>
    <xdr:graphicFrame macro="">
      <xdr:nvGraphicFramePr>
        <xdr:cNvPr id="5" name="Chart 4">
          <a:extLst>
            <a:ext uri="{FF2B5EF4-FFF2-40B4-BE49-F238E27FC236}">
              <a16:creationId xmlns:a16="http://schemas.microsoft.com/office/drawing/2014/main" id="{0D7AD832-BA56-7FD9-0B16-AF0074354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492124</xdr:colOff>
      <xdr:row>18</xdr:row>
      <xdr:rowOff>34925</xdr:rowOff>
    </xdr:from>
    <xdr:to>
      <xdr:col>15</xdr:col>
      <xdr:colOff>501650</xdr:colOff>
      <xdr:row>22</xdr:row>
      <xdr:rowOff>101600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DDEFBBE-5F63-9F23-2A68-24B94CE7F2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61224" y="3463925"/>
              <a:ext cx="3667126" cy="828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511175</xdr:colOff>
      <xdr:row>22</xdr:row>
      <xdr:rowOff>155574</xdr:rowOff>
    </xdr:from>
    <xdr:to>
      <xdr:col>15</xdr:col>
      <xdr:colOff>549275</xdr:colOff>
      <xdr:row>30</xdr:row>
      <xdr:rowOff>146049</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FB922681-C216-5E68-C35F-E968E49BFAE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280275" y="4346574"/>
              <a:ext cx="3695700" cy="15144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34924</xdr:colOff>
      <xdr:row>23</xdr:row>
      <xdr:rowOff>0</xdr:rowOff>
    </xdr:from>
    <xdr:to>
      <xdr:col>22</xdr:col>
      <xdr:colOff>215900</xdr:colOff>
      <xdr:row>30</xdr:row>
      <xdr:rowOff>171450</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3450B4FA-D437-E08A-A914-D56A320207C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071224" y="4381500"/>
              <a:ext cx="4105276"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6350</xdr:colOff>
      <xdr:row>18</xdr:row>
      <xdr:rowOff>120650</xdr:rowOff>
    </xdr:from>
    <xdr:to>
      <xdr:col>20</xdr:col>
      <xdr:colOff>749300</xdr:colOff>
      <xdr:row>22</xdr:row>
      <xdr:rowOff>92075</xdr:rowOff>
    </xdr:to>
    <mc:AlternateContent xmlns:mc="http://schemas.openxmlformats.org/markup-compatibility/2006" xmlns:sle15="http://schemas.microsoft.com/office/drawing/2012/slicer">
      <mc:Choice Requires="sle15">
        <xdr:graphicFrame macro="">
          <xdr:nvGraphicFramePr>
            <xdr:cNvPr id="8" name="Category">
              <a:extLst>
                <a:ext uri="{FF2B5EF4-FFF2-40B4-BE49-F238E27FC236}">
                  <a16:creationId xmlns:a16="http://schemas.microsoft.com/office/drawing/2014/main" id="{108D2AAE-3A67-435B-994D-4DA859BB11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42650" y="3549650"/>
              <a:ext cx="3181350" cy="7334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314325</xdr:colOff>
      <xdr:row>14</xdr:row>
      <xdr:rowOff>123825</xdr:rowOff>
    </xdr:from>
    <xdr:to>
      <xdr:col>20</xdr:col>
      <xdr:colOff>279400</xdr:colOff>
      <xdr:row>29</xdr:row>
      <xdr:rowOff>63500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BF21856-A320-4209-90E2-C045C9D313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15225" y="2781300"/>
              <a:ext cx="7889875" cy="3025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76200</xdr:colOff>
      <xdr:row>0</xdr:row>
      <xdr:rowOff>9525</xdr:rowOff>
    </xdr:from>
    <xdr:to>
      <xdr:col>9</xdr:col>
      <xdr:colOff>47625</xdr:colOff>
      <xdr:row>6</xdr:row>
      <xdr:rowOff>76200</xdr:rowOff>
    </xdr:to>
    <xdr:sp macro="" textlink="">
      <xdr:nvSpPr>
        <xdr:cNvPr id="4" name="Thought Bubble: Cloud 3">
          <a:extLst>
            <a:ext uri="{FF2B5EF4-FFF2-40B4-BE49-F238E27FC236}">
              <a16:creationId xmlns:a16="http://schemas.microsoft.com/office/drawing/2014/main" id="{65693705-18AF-74FC-A44D-8547DC4142CA}"/>
            </a:ext>
          </a:extLst>
        </xdr:cNvPr>
        <xdr:cNvSpPr/>
      </xdr:nvSpPr>
      <xdr:spPr>
        <a:xfrm>
          <a:off x="6057900" y="9525"/>
          <a:ext cx="2409825" cy="1200150"/>
        </a:xfrm>
        <a:prstGeom prst="cloudCallout">
          <a:avLst/>
        </a:prstGeom>
        <a:solidFill>
          <a:srgbClr val="BA5C7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WHERE  ARROW SHOWING CLICK THERE TO CHANGE MAP REGIONS.....</a:t>
          </a:r>
        </a:p>
        <a:p>
          <a:pPr algn="ctr"/>
          <a:endParaRPr lang="en-US" sz="1100" b="1"/>
        </a:p>
      </xdr:txBody>
    </xdr:sp>
    <xdr:clientData/>
  </xdr:twoCellAnchor>
  <xdr:twoCellAnchor editAs="oneCell">
    <xdr:from>
      <xdr:col>2</xdr:col>
      <xdr:colOff>104486</xdr:colOff>
      <xdr:row>0</xdr:row>
      <xdr:rowOff>151812</xdr:rowOff>
    </xdr:from>
    <xdr:to>
      <xdr:col>3</xdr:col>
      <xdr:colOff>12887</xdr:colOff>
      <xdr:row>2</xdr:row>
      <xdr:rowOff>186587</xdr:rowOff>
    </xdr:to>
    <xdr:pic>
      <xdr:nvPicPr>
        <xdr:cNvPr id="8" name="Graphic 7" descr="Back with solid fill">
          <a:extLst>
            <a:ext uri="{FF2B5EF4-FFF2-40B4-BE49-F238E27FC236}">
              <a16:creationId xmlns:a16="http://schemas.microsoft.com/office/drawing/2014/main" id="{33DE982B-2413-F31A-5392-DF39D510A0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21406816">
          <a:off x="3390611" y="151812"/>
          <a:ext cx="518001" cy="406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104775</xdr:colOff>
      <xdr:row>5</xdr:row>
      <xdr:rowOff>76201</xdr:rowOff>
    </xdr:from>
    <xdr:to>
      <xdr:col>14</xdr:col>
      <xdr:colOff>514350</xdr:colOff>
      <xdr:row>24</xdr:row>
      <xdr:rowOff>142875</xdr:rowOff>
    </xdr:to>
    <xdr:graphicFrame macro="">
      <xdr:nvGraphicFramePr>
        <xdr:cNvPr id="2" name="TOTAL SALES PER WEEK">
          <a:extLst>
            <a:ext uri="{FF2B5EF4-FFF2-40B4-BE49-F238E27FC236}">
              <a16:creationId xmlns:a16="http://schemas.microsoft.com/office/drawing/2014/main" id="{4C18B23F-0C61-8BB6-4225-842989801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95250</xdr:colOff>
      <xdr:row>2</xdr:row>
      <xdr:rowOff>95250</xdr:rowOff>
    </xdr:from>
    <xdr:to>
      <xdr:col>2</xdr:col>
      <xdr:colOff>514350</xdr:colOff>
      <xdr:row>4</xdr:row>
      <xdr:rowOff>133350</xdr:rowOff>
    </xdr:to>
    <xdr:pic>
      <xdr:nvPicPr>
        <xdr:cNvPr id="3" name="Graphic 2" descr="Back with solid fill">
          <a:extLst>
            <a:ext uri="{FF2B5EF4-FFF2-40B4-BE49-F238E27FC236}">
              <a16:creationId xmlns:a16="http://schemas.microsoft.com/office/drawing/2014/main" id="{9091E978-CB5B-8DC2-7F3B-8B323695DD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29025" y="476250"/>
          <a:ext cx="419100" cy="419100"/>
        </a:xfrm>
        <a:prstGeom prst="rect">
          <a:avLst/>
        </a:prstGeom>
      </xdr:spPr>
    </xdr:pic>
    <xdr:clientData/>
  </xdr:twoCellAnchor>
  <xdr:twoCellAnchor>
    <xdr:from>
      <xdr:col>2</xdr:col>
      <xdr:colOff>47625</xdr:colOff>
      <xdr:row>3</xdr:row>
      <xdr:rowOff>171450</xdr:rowOff>
    </xdr:from>
    <xdr:to>
      <xdr:col>3</xdr:col>
      <xdr:colOff>1724025</xdr:colOff>
      <xdr:row>12</xdr:row>
      <xdr:rowOff>161925</xdr:rowOff>
    </xdr:to>
    <xdr:sp macro="" textlink="">
      <xdr:nvSpPr>
        <xdr:cNvPr id="4" name="Thought Bubble: Cloud 3">
          <a:extLst>
            <a:ext uri="{FF2B5EF4-FFF2-40B4-BE49-F238E27FC236}">
              <a16:creationId xmlns:a16="http://schemas.microsoft.com/office/drawing/2014/main" id="{874BDAA5-5C1F-B13A-CC13-CFAA18B6C9A0}"/>
            </a:ext>
          </a:extLst>
        </xdr:cNvPr>
        <xdr:cNvSpPr/>
      </xdr:nvSpPr>
      <xdr:spPr>
        <a:xfrm>
          <a:off x="3581400" y="742950"/>
          <a:ext cx="2286000" cy="1704975"/>
        </a:xfrm>
        <a:prstGeom prst="cloudCallout">
          <a:avLst/>
        </a:prstGeom>
        <a:solidFill>
          <a:schemeClr val="accent2">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“Bookshelf is the most frequently purchased product, with a total of 35 purchases.”</a:t>
          </a:r>
        </a:p>
      </xdr:txBody>
    </xdr:sp>
    <xdr:clientData/>
  </xdr:twoCellAnchor>
  <xdr:twoCellAnchor editAs="oneCell">
    <xdr:from>
      <xdr:col>1</xdr:col>
      <xdr:colOff>28244</xdr:colOff>
      <xdr:row>12</xdr:row>
      <xdr:rowOff>43977</xdr:rowOff>
    </xdr:from>
    <xdr:to>
      <xdr:col>2</xdr:col>
      <xdr:colOff>124610</xdr:colOff>
      <xdr:row>16</xdr:row>
      <xdr:rowOff>106391</xdr:rowOff>
    </xdr:to>
    <xdr:pic>
      <xdr:nvPicPr>
        <xdr:cNvPr id="6" name="Graphic 5" descr="Back with solid fill">
          <a:extLst>
            <a:ext uri="{FF2B5EF4-FFF2-40B4-BE49-F238E27FC236}">
              <a16:creationId xmlns:a16="http://schemas.microsoft.com/office/drawing/2014/main" id="{824A8B53-3666-748A-B320-8BFF8FF634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9850365">
          <a:off x="1866569" y="2329977"/>
          <a:ext cx="1791816" cy="82441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pesh patil" refreshedDate="46290.002453819441" createdVersion="8" refreshedVersion="8" minRefreshableVersion="3" recordCount="250" xr:uid="{C5345225-9212-4C59-8E9C-CCA53B5F9DF6}">
  <cacheSource type="worksheet">
    <worksheetSource name="Table1"/>
  </cacheSource>
  <cacheFields count="19">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8"/>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acheField>
    <cacheField name="Quantity" numFmtId="1">
      <sharedItems containsSemiMixedTypes="0" containsString="0" containsNumber="1" containsInteger="1" minValue="1" maxValue="5"/>
    </cacheField>
    <cacheField name="Unit_Price" numFmtId="165">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Customer_Tenure" numFmtId="0">
      <sharedItems containsSemiMixedTypes="0" containsString="0" containsNumber="1" containsInteger="1" minValue="2" maxValue="5"/>
    </cacheField>
    <cacheField name="Current_Date" numFmtId="14">
      <sharedItems containsSemiMixedTypes="0" containsNonDate="0" containsDate="1" containsString="0" minDate="2026-09-25T00:00:00" maxDate="2026-09-26T00:00:00"/>
    </cacheField>
    <cacheField name="Timestamp" numFmtId="22">
      <sharedItems containsSemiMixedTypes="0" containsNonDate="0" containsDate="1" containsString="0" minDate="1899-12-30T00:00:00" maxDate="1899-12-31T00:00:00"/>
    </cacheField>
    <cacheField name="Month_End" numFmtId="164">
      <sharedItems containsSemiMixedTypes="0" containsNonDate="0" containsDate="1" containsString="0" minDate="2021-07-31T00:00:00" maxDate="2024-05-01T00:00:00" count="34">
        <d v="2021-08-31T00:00:00"/>
        <d v="2022-01-31T00:00:00"/>
        <d v="2023-12-31T00:00:00"/>
        <d v="2023-07-31T00:00:00"/>
        <d v="2024-01-31T00:00:00"/>
        <d v="2022-07-31T00:00:00"/>
        <d v="2023-03-31T00:00:00"/>
        <d v="2023-10-31T00:00:00"/>
        <d v="2023-06-30T00:00:00"/>
        <d v="2022-09-30T00:00:00"/>
        <d v="2024-02-29T00:00:00"/>
        <d v="2022-12-31T00:00:00"/>
        <d v="2024-03-31T00:00:00"/>
        <d v="2022-08-31T00:00:00"/>
        <d v="2023-08-31T00:00:00"/>
        <d v="2021-09-30T00:00:00"/>
        <d v="2022-06-30T00:00:00"/>
        <d v="2021-11-30T00:00:00"/>
        <d v="2022-11-30T00:00:00"/>
        <d v="2023-05-31T00:00:00"/>
        <d v="2023-04-30T00:00:00"/>
        <d v="2021-07-31T00:00:00"/>
        <d v="2024-04-30T00:00:00"/>
        <d v="2022-05-31T00:00:00"/>
        <d v="2022-03-31T00:00:00"/>
        <d v="2021-10-31T00:00:00"/>
        <d v="2023-02-28T00:00:00"/>
        <d v="2023-09-30T00:00:00"/>
        <d v="2023-11-30T00:00:00"/>
        <d v="2022-10-31T00:00:00"/>
        <d v="2022-02-28T00:00:00"/>
        <d v="2021-12-31T00:00:00"/>
        <d v="2022-04-30T00:00:00"/>
        <d v="2023-01-31T00:00:00"/>
      </sharedItems>
    </cacheField>
    <cacheField name="Months (Date)" numFmtId="0" databaseField="0">
      <fieldGroup base="1">
        <rangePr groupBy="months" startDate="2024-04-11T00:00:00" endDate="2025-04-12T00:00:00"/>
        <groupItems count="14">
          <s v="&lt;4/11/2024"/>
          <s v="Jan"/>
          <s v="Feb"/>
          <s v="Mar"/>
          <s v="Apr"/>
          <s v="May"/>
          <s v="Jun"/>
          <s v="Jul"/>
          <s v="Aug"/>
          <s v="Sep"/>
          <s v="Oct"/>
          <s v="Nov"/>
          <s v="Dec"/>
          <s v="&gt;4/12/2025"/>
        </groupItems>
      </fieldGroup>
    </cacheField>
  </cacheFields>
  <extLst>
    <ext xmlns:x14="http://schemas.microsoft.com/office/spreadsheetml/2009/9/main" uri="{725AE2AE-9491-48be-B2B4-4EB974FC3084}">
      <x14:pivotCacheDefinition pivotCacheId="3687601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pesh patil" refreshedDate="46295.305626273148" createdVersion="8" refreshedVersion="8" minRefreshableVersion="3" recordCount="250" xr:uid="{4DD3D751-E169-4034-AFB7-316846453457}">
  <cacheSource type="worksheet">
    <worksheetSource ref="A1:N251" sheet="WEEKLY DATA"/>
  </cacheSource>
  <cacheFields count="15">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4"/>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165">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165">
      <sharedItems containsSemiMixedTypes="0" containsString="0" containsNumber="1" minValue="59.99" maxValue="4499.95"/>
    </cacheField>
    <cacheField name="Days (Date)" numFmtId="0" databaseField="0">
      <fieldGroup base="1">
        <rangePr groupBy="days" startDate="2024-04-11T00:00:00" endDate="2025-04-12T00:00:00" groupInterval="7"/>
        <groupItems count="55">
          <s v="&lt;4/11/2024"/>
          <s v="4/11/2024 - 4/17/2024"/>
          <s v="4/18/2024 - 4/24/2024"/>
          <s v="4/25/2024 - 5/1/2024"/>
          <s v="5/2/2024 - 5/8/2024"/>
          <s v="5/9/2024 - 5/15/2024"/>
          <s v="5/16/2024 - 5/22/2024"/>
          <s v="5/23/2024 - 5/29/2024"/>
          <s v="5/30/2024 - 6/5/2024"/>
          <s v="6/6/2024 - 6/12/2024"/>
          <s v="6/13/2024 - 6/19/2024"/>
          <s v="6/20/2024 - 6/26/2024"/>
          <s v="6/27/2024 - 7/3/2024"/>
          <s v="7/4/2024 - 7/10/2024"/>
          <s v="7/11/2024 - 7/17/2024"/>
          <s v="7/18/2024 - 7/24/2024"/>
          <s v="7/25/2024 - 7/31/2024"/>
          <s v="8/1/2024 - 8/7/2024"/>
          <s v="8/8/2024 - 8/14/2024"/>
          <s v="8/15/2024 - 8/21/2024"/>
          <s v="8/22/2024 - 8/28/2024"/>
          <s v="8/29/2024 - 9/4/2024"/>
          <s v="9/5/2024 - 9/11/2024"/>
          <s v="9/12/2024 - 9/18/2024"/>
          <s v="9/19/2024 - 9/25/2024"/>
          <s v="9/26/2024 - 10/2/2024"/>
          <s v="10/3/2024 - 10/9/2024"/>
          <s v="10/10/2024 - 10/16/2024"/>
          <s v="10/17/2024 - 10/23/2024"/>
          <s v="10/24/2024 - 10/30/2024"/>
          <s v="10/31/2024 - 11/6/2024"/>
          <s v="11/7/2024 - 11/13/2024"/>
          <s v="11/14/2024 - 11/20/2024"/>
          <s v="11/21/2024 - 11/27/2024"/>
          <s v="11/28/2024 - 12/4/2024"/>
          <s v="12/5/2024 - 12/11/2024"/>
          <s v="12/12/2024 - 12/18/2024"/>
          <s v="12/19/2024 - 12/25/2024"/>
          <s v="12/26/2024 - 1/1/2025"/>
          <s v="1/2/2025 - 1/8/2025"/>
          <s v="1/9/2025 - 1/15/2025"/>
          <s v="1/16/2025 - 1/22/2025"/>
          <s v="1/23/2025 - 1/29/2025"/>
          <s v="1/30/2025 - 2/5/2025"/>
          <s v="2/6/2025 - 2/12/2025"/>
          <s v="2/13/2025 - 2/19/2025"/>
          <s v="2/20/2025 - 2/26/2025"/>
          <s v="2/27/2025 - 3/5/2025"/>
          <s v="3/6/2025 - 3/12/2025"/>
          <s v="3/13/2025 - 3/19/2025"/>
          <s v="3/20/2025 - 3/26/2025"/>
          <s v="3/27/2025 - 4/2/2025"/>
          <s v="4/3/2025 - 4/9/2025"/>
          <s v="4/10/2025 - 4/12/2025"/>
          <s v="&gt;4/12/2025"/>
        </groupItems>
      </fieldGroup>
    </cacheField>
  </cacheFields>
  <extLst>
    <ext xmlns:x14="http://schemas.microsoft.com/office/spreadsheetml/2009/9/main" uri="{725AE2AE-9491-48be-B2B4-4EB974FC3084}">
      <x14:pivotCacheDefinition pivotCacheId="428213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s v="Electronics"/>
    <n v="3"/>
    <n v="333.33333333333331"/>
    <s v="Cash"/>
    <x v="0"/>
    <s v="Basic"/>
    <d v="2021-08-17T00:00:00"/>
    <n v="1000"/>
    <n v="5"/>
    <d v="2026-09-25T00:00:00"/>
    <d v="1899-12-30T00:00:00"/>
    <x v="0"/>
  </r>
  <r>
    <s v="TRX0023"/>
    <x v="1"/>
    <s v="CUST013"/>
    <s v="Joseph Jackson"/>
    <s v="P009"/>
    <x v="0"/>
    <s v="Electronics"/>
    <n v="3"/>
    <n v="249.99"/>
    <s v="Credit Card"/>
    <x v="0"/>
    <s v="Premium"/>
    <d v="2022-01-14T00:00:00"/>
    <n v="749.97"/>
    <n v="4"/>
    <d v="2026-09-25T00:00:00"/>
    <d v="1899-12-30T00:00:00"/>
    <x v="1"/>
  </r>
  <r>
    <s v="TRX0139"/>
    <x v="2"/>
    <s v="CUST021"/>
    <s v="Kevin Scott"/>
    <s v="P005"/>
    <x v="1"/>
    <s v="Appliances"/>
    <n v="3"/>
    <n v="59.99"/>
    <s v="PayPal"/>
    <x v="1"/>
    <s v="Standard"/>
    <d v="2023-12-02T00:00:00"/>
    <n v="179.97"/>
    <n v="2"/>
    <d v="2026-09-25T00:00:00"/>
    <d v="1899-12-30T00:00:00"/>
    <x v="2"/>
  </r>
  <r>
    <s v="TRX0043"/>
    <x v="3"/>
    <s v="CUST046"/>
    <s v="Kathleen Bennett"/>
    <s v="P005"/>
    <x v="1"/>
    <s v="Appliances"/>
    <n v="3"/>
    <n v="59.99"/>
    <s v="Cash"/>
    <x v="2"/>
    <s v="Premium"/>
    <d v="2023-07-07T00:00:00"/>
    <n v="179.97"/>
    <n v="3"/>
    <d v="2026-09-25T00:00:00"/>
    <d v="1899-12-30T00:00:00"/>
    <x v="3"/>
  </r>
  <r>
    <s v="TRX0212"/>
    <x v="3"/>
    <s v="CUST003"/>
    <s v="Michael Brown"/>
    <s v="P008"/>
    <x v="2"/>
    <s v="Furniture"/>
    <n v="5"/>
    <n v="149.99"/>
    <s v="Credit Card"/>
    <x v="2"/>
    <s v="Premium"/>
    <d v="2024-01-04T00:00:00"/>
    <n v="749.95"/>
    <n v="2"/>
    <d v="2026-09-25T00:00:00"/>
    <d v="1899-12-30T00:00:00"/>
    <x v="4"/>
  </r>
  <r>
    <s v="TRX0092"/>
    <x v="4"/>
    <s v="CUST024"/>
    <s v="Dorothy Nelson"/>
    <s v="P005"/>
    <x v="1"/>
    <s v="Appliances"/>
    <n v="2"/>
    <n v="59.99"/>
    <s v="Cash"/>
    <x v="3"/>
    <s v="Standard"/>
    <d v="2022-07-04T00:00:00"/>
    <n v="119.98"/>
    <n v="4"/>
    <d v="2026-09-25T00:00:00"/>
    <d v="1899-12-30T00:00:00"/>
    <x v="5"/>
  </r>
  <r>
    <s v="TRX0193"/>
    <x v="4"/>
    <s v="CUST024"/>
    <s v="Dorothy Nelson"/>
    <s v="P003"/>
    <x v="3"/>
    <s v="Electronics"/>
    <n v="5"/>
    <n v="149.99"/>
    <s v="Credit Card"/>
    <x v="0"/>
    <s v="Standard"/>
    <d v="2021-08-10T00:00:00"/>
    <n v="749.95"/>
    <n v="5"/>
    <d v="2026-09-25T00:00:00"/>
    <d v="1899-12-30T00:00:00"/>
    <x v="0"/>
  </r>
  <r>
    <s v="TRX0240"/>
    <x v="4"/>
    <s v="CUST017"/>
    <s v="Charles Allen"/>
    <s v="P005"/>
    <x v="1"/>
    <s v="Appliances"/>
    <n v="3"/>
    <n v="59.99"/>
    <s v="Debit Card"/>
    <x v="1"/>
    <s v="Basic"/>
    <d v="2023-03-22T00:00:00"/>
    <n v="179.97"/>
    <n v="3"/>
    <d v="2026-09-25T00:00:00"/>
    <d v="1899-12-30T00:00:00"/>
    <x v="6"/>
  </r>
  <r>
    <s v="TRX0135"/>
    <x v="5"/>
    <s v="CUST009"/>
    <s v="Robert Thomas"/>
    <s v="P001"/>
    <x v="4"/>
    <s v="Electronics"/>
    <n v="3"/>
    <n v="899.99"/>
    <s v="PayPal"/>
    <x v="4"/>
    <s v="Standard"/>
    <d v="2024-01-08T00:00:00"/>
    <n v="2699.9700000000003"/>
    <n v="2"/>
    <d v="2026-09-25T00:00:00"/>
    <d v="1899-12-30T00:00:00"/>
    <x v="4"/>
  </r>
  <r>
    <s v="TRX0185"/>
    <x v="6"/>
    <s v="CUST026"/>
    <s v="Karen Hill"/>
    <s v="P005"/>
    <x v="1"/>
    <s v="Appliances"/>
    <n v="3"/>
    <n v="59.99"/>
    <s v="Cash"/>
    <x v="3"/>
    <s v="Premium"/>
    <d v="2023-10-08T00:00:00"/>
    <n v="179.97"/>
    <n v="2"/>
    <d v="2026-09-25T00:00:00"/>
    <d v="1899-12-30T00:00:00"/>
    <x v="7"/>
  </r>
  <r>
    <s v="TRX0138"/>
    <x v="6"/>
    <s v="CUST022"/>
    <s v="Susan Green"/>
    <s v="P008"/>
    <x v="2"/>
    <s v="Furniture"/>
    <n v="1"/>
    <n v="149.99"/>
    <s v="Credit Card"/>
    <x v="3"/>
    <s v="Standard"/>
    <d v="2023-06-26T00:00:00"/>
    <n v="149.99"/>
    <n v="3"/>
    <d v="2026-09-25T00:00:00"/>
    <d v="1899-12-30T00:00:00"/>
    <x v="8"/>
  </r>
  <r>
    <s v="TRX0209"/>
    <x v="6"/>
    <s v="CUST046"/>
    <s v="Kathleen Bennett"/>
    <s v="P008"/>
    <x v="2"/>
    <s v="Furniture"/>
    <n v="5"/>
    <n v="149.99"/>
    <s v="Debit Card"/>
    <x v="2"/>
    <s v="Basic"/>
    <d v="2022-09-26T00:00:00"/>
    <n v="749.95"/>
    <n v="3"/>
    <d v="2026-09-25T00:00:00"/>
    <d v="1899-12-30T00:00:00"/>
    <x v="9"/>
  </r>
  <r>
    <s v="TRX0246"/>
    <x v="6"/>
    <s v="CUST041"/>
    <s v="Peter Richardson"/>
    <s v="P008"/>
    <x v="2"/>
    <s v="Furniture"/>
    <n v="3"/>
    <n v="149.99"/>
    <s v="Cash"/>
    <x v="2"/>
    <s v="Premium"/>
    <d v="2022-09-02T00:00:00"/>
    <n v="449.97"/>
    <n v="4"/>
    <d v="2026-09-25T00:00:00"/>
    <d v="1899-12-30T00:00:00"/>
    <x v="9"/>
  </r>
  <r>
    <s v="TRX0067"/>
    <x v="7"/>
    <s v="CUST043"/>
    <s v="Dennis Gray"/>
    <s v="P005"/>
    <x v="1"/>
    <s v="Appliances"/>
    <n v="3"/>
    <n v="59.99"/>
    <s v="Credit Card"/>
    <x v="2"/>
    <s v="Standard"/>
    <d v="2024-02-29T00:00:00"/>
    <n v="179.97"/>
    <n v="2"/>
    <d v="2026-09-25T00:00:00"/>
    <d v="1899-12-30T00:00:00"/>
    <x v="10"/>
  </r>
  <r>
    <s v="TRX0191"/>
    <x v="7"/>
    <s v="CUST038"/>
    <s v="Michelle Rogers"/>
    <s v="P002"/>
    <x v="5"/>
    <s v="Electronics"/>
    <n v="3"/>
    <n v="699.99"/>
    <s v="Credit Card"/>
    <x v="3"/>
    <s v="Basic"/>
    <d v="2022-01-16T00:00:00"/>
    <n v="2099.9700000000003"/>
    <n v="4"/>
    <d v="2026-09-25T00:00:00"/>
    <d v="1899-12-30T00:00:00"/>
    <x v="1"/>
  </r>
  <r>
    <s v="TRX0230"/>
    <x v="7"/>
    <s v="CUST027"/>
    <s v="George Adams"/>
    <s v="P001"/>
    <x v="4"/>
    <s v="Electronics"/>
    <n v="1"/>
    <n v="899.99"/>
    <s v="Debit Card"/>
    <x v="2"/>
    <s v="Standard"/>
    <d v="2022-12-25T00:00:00"/>
    <n v="899.99"/>
    <n v="3"/>
    <d v="2026-09-25T00:00:00"/>
    <d v="1899-12-30T00:00:00"/>
    <x v="11"/>
  </r>
  <r>
    <s v="TRX0049"/>
    <x v="8"/>
    <s v="CUST025"/>
    <s v="Mark Carter"/>
    <s v="P008"/>
    <x v="2"/>
    <s v="Furniture"/>
    <n v="4"/>
    <n v="149.99"/>
    <s v="Debit Card"/>
    <x v="2"/>
    <s v="Premium"/>
    <d v="2024-03-23T00:00:00"/>
    <n v="599.96"/>
    <n v="2"/>
    <d v="2026-09-25T00:00:00"/>
    <d v="1899-12-30T00:00:00"/>
    <x v="12"/>
  </r>
  <r>
    <s v="TRX0134"/>
    <x v="8"/>
    <s v="CUST010"/>
    <s v="Maria Garcia"/>
    <s v="P002"/>
    <x v="5"/>
    <s v="Electronics"/>
    <n v="2"/>
    <n v="699.99"/>
    <s v="Cash"/>
    <x v="2"/>
    <s v="Basic"/>
    <d v="2022-08-08T00:00:00"/>
    <n v="1399.98"/>
    <n v="4"/>
    <d v="2026-09-25T00:00:00"/>
    <d v="1899-12-30T00:00:00"/>
    <x v="13"/>
  </r>
  <r>
    <s v="TRX0122"/>
    <x v="8"/>
    <s v="CUST025"/>
    <s v="Mark Carter"/>
    <s v="P001"/>
    <x v="4"/>
    <s v="Electronics"/>
    <n v="4"/>
    <n v="899.99"/>
    <s v="Credit Card"/>
    <x v="3"/>
    <s v="Standard"/>
    <d v="2024-02-05T00:00:00"/>
    <n v="3599.96"/>
    <n v="2"/>
    <d v="2026-09-25T00:00:00"/>
    <d v="1899-12-30T00:00:00"/>
    <x v="10"/>
  </r>
  <r>
    <s v="TRX0222"/>
    <x v="8"/>
    <s v="CUST048"/>
    <s v="Virginia Sanders"/>
    <s v="P009"/>
    <x v="0"/>
    <s v="Electronics"/>
    <n v="3"/>
    <n v="249.99"/>
    <s v="Credit Card"/>
    <x v="2"/>
    <s v="Premium"/>
    <d v="2023-10-25T00:00:00"/>
    <n v="749.97"/>
    <n v="2"/>
    <d v="2026-09-25T00:00:00"/>
    <d v="1899-12-30T00:00:00"/>
    <x v="7"/>
  </r>
  <r>
    <s v="TRX0231"/>
    <x v="9"/>
    <s v="CUST018"/>
    <s v="Barbara Young"/>
    <s v="P002"/>
    <x v="5"/>
    <s v="Electronics"/>
    <n v="5"/>
    <n v="699.99"/>
    <s v="Cash"/>
    <x v="3"/>
    <s v="Basic"/>
    <d v="2023-08-29T00:00:00"/>
    <n v="3499.95"/>
    <n v="3"/>
    <d v="2026-09-25T00:00:00"/>
    <d v="1899-12-30T00:00:00"/>
    <x v="14"/>
  </r>
  <r>
    <s v="TRX0239"/>
    <x v="10"/>
    <s v="CUST012"/>
    <s v="Patricia Moore"/>
    <s v="P002"/>
    <x v="5"/>
    <s v="Electronics"/>
    <n v="4"/>
    <n v="699.99"/>
    <s v="Cash"/>
    <x v="4"/>
    <s v="Standard"/>
    <d v="2021-08-01T00:00:00"/>
    <n v="2799.96"/>
    <n v="5"/>
    <d v="2026-09-25T00:00:00"/>
    <d v="1899-12-30T00:00:00"/>
    <x v="0"/>
  </r>
  <r>
    <s v="TRX0204"/>
    <x v="11"/>
    <s v="CUST044"/>
    <s v="Cynthia Price"/>
    <s v="P009"/>
    <x v="0"/>
    <s v="Electronics"/>
    <n v="4"/>
    <n v="249.99"/>
    <s v="PayPal"/>
    <x v="2"/>
    <s v="Standard"/>
    <d v="2021-09-29T00:00:00"/>
    <n v="999.96"/>
    <n v="4"/>
    <d v="2026-09-25T00:00:00"/>
    <d v="1899-12-30T00:00:00"/>
    <x v="15"/>
  </r>
  <r>
    <s v="TRX0242"/>
    <x v="12"/>
    <s v="CUST025"/>
    <s v="Mark Carter"/>
    <s v="P007"/>
    <x v="6"/>
    <s v="Furniture"/>
    <n v="4"/>
    <n v="299.99"/>
    <s v="Cash"/>
    <x v="3"/>
    <s v="Premium"/>
    <d v="2022-06-04T00:00:00"/>
    <n v="1199.96"/>
    <n v="4"/>
    <d v="2026-09-25T00:00:00"/>
    <d v="1899-12-30T00:00:00"/>
    <x v="16"/>
  </r>
  <r>
    <s v="TRX0071"/>
    <x v="13"/>
    <s v="CUST036"/>
    <s v="Nancy Collins"/>
    <s v="P009"/>
    <x v="0"/>
    <s v="Electronics"/>
    <n v="5"/>
    <n v="249.99"/>
    <s v="Credit Card"/>
    <x v="3"/>
    <s v="Standard"/>
    <d v="2021-11-25T00:00:00"/>
    <n v="1249.95"/>
    <n v="4"/>
    <d v="2026-09-25T00:00:00"/>
    <d v="1899-12-30T00:00:00"/>
    <x v="17"/>
  </r>
  <r>
    <s v="TRX0040"/>
    <x v="14"/>
    <s v="CUST022"/>
    <s v="Susan Green"/>
    <s v="P007"/>
    <x v="6"/>
    <s v="Furniture"/>
    <n v="5"/>
    <n v="299.99"/>
    <s v="PayPal"/>
    <x v="4"/>
    <s v="Basic"/>
    <d v="2023-08-30T00:00:00"/>
    <n v="1499.95"/>
    <n v="3"/>
    <d v="2026-09-25T00:00:00"/>
    <d v="1899-12-30T00:00:00"/>
    <x v="14"/>
  </r>
  <r>
    <s v="TRX0235"/>
    <x v="14"/>
    <s v="CUST014"/>
    <s v="Linda Martin"/>
    <s v="P004"/>
    <x v="7"/>
    <s v="Appliances"/>
    <n v="3"/>
    <n v="79.989999999999995"/>
    <s v="PayPal"/>
    <x v="4"/>
    <s v="Premium"/>
    <d v="2023-03-27T00:00:00"/>
    <n v="239.96999999999997"/>
    <n v="3"/>
    <d v="2026-09-25T00:00:00"/>
    <d v="1899-12-30T00:00:00"/>
    <x v="6"/>
  </r>
  <r>
    <s v="TRX0004"/>
    <x v="14"/>
    <s v="CUST012"/>
    <s v="Patricia Moore"/>
    <s v="P010"/>
    <x v="8"/>
    <s v="Electronics"/>
    <n v="5"/>
    <n v="89.99"/>
    <s v="Cash"/>
    <x v="2"/>
    <s v="Premium"/>
    <d v="2022-12-24T00:00:00"/>
    <n v="449.95"/>
    <n v="3"/>
    <d v="2026-09-25T00:00:00"/>
    <d v="1899-12-30T00:00:00"/>
    <x v="11"/>
  </r>
  <r>
    <s v="TRX0063"/>
    <x v="15"/>
    <s v="CUST030"/>
    <s v="Helen Roberts"/>
    <s v="P005"/>
    <x v="1"/>
    <s v="Appliances"/>
    <n v="2"/>
    <n v="59.99"/>
    <s v="Debit Card"/>
    <x v="0"/>
    <s v="Standard"/>
    <d v="2023-10-15T00:00:00"/>
    <n v="119.98"/>
    <n v="2"/>
    <d v="2026-09-25T00:00:00"/>
    <d v="1899-12-30T00:00:00"/>
    <x v="7"/>
  </r>
  <r>
    <s v="TRX0241"/>
    <x v="16"/>
    <s v="CUST029"/>
    <s v="Edward Mitchell"/>
    <s v="P005"/>
    <x v="1"/>
    <s v="Appliances"/>
    <n v="4"/>
    <n v="59.99"/>
    <s v="Debit Card"/>
    <x v="4"/>
    <s v="Standard"/>
    <d v="2022-11-02T00:00:00"/>
    <n v="239.96"/>
    <n v="3"/>
    <d v="2026-09-25T00:00:00"/>
    <d v="1899-12-30T00:00:00"/>
    <x v="18"/>
  </r>
  <r>
    <s v="TRX0029"/>
    <x v="16"/>
    <s v="CUST017"/>
    <s v="Charles Allen"/>
    <s v="P006"/>
    <x v="9"/>
    <s v="Furniture"/>
    <n v="5"/>
    <n v="199.99"/>
    <s v="Cash"/>
    <x v="1"/>
    <s v="Standard"/>
    <d v="2021-08-04T00:00:00"/>
    <n v="999.95"/>
    <n v="5"/>
    <d v="2026-09-25T00:00:00"/>
    <d v="1899-12-30T00:00:00"/>
    <x v="0"/>
  </r>
  <r>
    <s v="TRX0194"/>
    <x v="17"/>
    <s v="CUST006"/>
    <s v="Lisa Anderson"/>
    <s v="P008"/>
    <x v="2"/>
    <s v="Furniture"/>
    <n v="2"/>
    <n v="149.99"/>
    <s v="Credit Card"/>
    <x v="3"/>
    <s v="Basic"/>
    <d v="2022-09-19T00:00:00"/>
    <n v="299.98"/>
    <n v="4"/>
    <d v="2026-09-25T00:00:00"/>
    <d v="1899-12-30T00:00:00"/>
    <x v="9"/>
  </r>
  <r>
    <s v="TRX0130"/>
    <x v="18"/>
    <s v="CUST002"/>
    <s v="Emma Wilson"/>
    <s v="P008"/>
    <x v="2"/>
    <s v="Furniture"/>
    <n v="3"/>
    <n v="149.99"/>
    <s v="Credit Card"/>
    <x v="3"/>
    <s v="Premium"/>
    <d v="2023-05-22T00:00:00"/>
    <n v="449.97"/>
    <n v="3"/>
    <d v="2026-09-25T00:00:00"/>
    <d v="1899-12-30T00:00:00"/>
    <x v="19"/>
  </r>
  <r>
    <s v="TRX0041"/>
    <x v="19"/>
    <s v="CUST021"/>
    <s v="Kevin Scott"/>
    <s v="P001"/>
    <x v="4"/>
    <s v="Electronics"/>
    <n v="1"/>
    <n v="899.99"/>
    <s v="Credit Card"/>
    <x v="3"/>
    <s v="Premium"/>
    <d v="2022-01-17T00:00:00"/>
    <n v="899.99"/>
    <n v="4"/>
    <d v="2026-09-25T00:00:00"/>
    <d v="1899-12-30T00:00:00"/>
    <x v="1"/>
  </r>
  <r>
    <s v="TRX0232"/>
    <x v="20"/>
    <s v="CUST012"/>
    <s v="Patricia Moore"/>
    <s v="P007"/>
    <x v="6"/>
    <s v="Furniture"/>
    <n v="3"/>
    <n v="299.99"/>
    <s v="Credit Card"/>
    <x v="4"/>
    <s v="Basic"/>
    <d v="2022-09-20T00:00:00"/>
    <n v="899.97"/>
    <n v="4"/>
    <d v="2026-09-25T00:00:00"/>
    <d v="1899-12-30T00:00:00"/>
    <x v="9"/>
  </r>
  <r>
    <s v="TRX0021"/>
    <x v="21"/>
    <s v="CUST006"/>
    <s v="Lisa Anderson"/>
    <s v="P004"/>
    <x v="7"/>
    <s v="Appliances"/>
    <n v="3"/>
    <n v="79.989999999999995"/>
    <s v="Cash"/>
    <x v="1"/>
    <s v="Basic"/>
    <d v="2023-04-30T00:00:00"/>
    <n v="239.96999999999997"/>
    <n v="3"/>
    <d v="2026-09-25T00:00:00"/>
    <d v="1899-12-30T00:00:00"/>
    <x v="20"/>
  </r>
  <r>
    <s v="TRX0245"/>
    <x v="22"/>
    <s v="CUST031"/>
    <s v="Steven Turner"/>
    <s v="P006"/>
    <x v="9"/>
    <s v="Furniture"/>
    <n v="3"/>
    <n v="199.99"/>
    <s v="Credit Card"/>
    <x v="2"/>
    <s v="Premium"/>
    <d v="2024-01-01T00:00:00"/>
    <n v="599.97"/>
    <n v="2"/>
    <d v="2026-09-25T00:00:00"/>
    <d v="1899-12-30T00:00:00"/>
    <x v="4"/>
  </r>
  <r>
    <s v="TRX0015"/>
    <x v="23"/>
    <s v="CUST008"/>
    <s v="Jennifer Taylor"/>
    <s v="P002"/>
    <x v="5"/>
    <s v="Electronics"/>
    <n v="5"/>
    <n v="699.99"/>
    <s v="PayPal"/>
    <x v="3"/>
    <s v="Standard"/>
    <d v="2021-07-30T00:00:00"/>
    <n v="3499.95"/>
    <n v="5"/>
    <d v="2026-09-25T00:00:00"/>
    <d v="1899-12-30T00:00:00"/>
    <x v="21"/>
  </r>
  <r>
    <s v="TRX0202"/>
    <x v="24"/>
    <s v="CUST035"/>
    <s v="Harry Morgan"/>
    <s v="P010"/>
    <x v="8"/>
    <s v="Electronics"/>
    <n v="3"/>
    <n v="89.99"/>
    <s v="PayPal"/>
    <x v="0"/>
    <s v="Premium"/>
    <d v="2023-07-13T00:00:00"/>
    <n v="269.96999999999997"/>
    <n v="3"/>
    <d v="2026-09-25T00:00:00"/>
    <d v="1899-12-30T00:00:00"/>
    <x v="3"/>
  </r>
  <r>
    <s v="TRX0042"/>
    <x v="25"/>
    <s v="CUST019"/>
    <s v="Daniel King"/>
    <s v="P004"/>
    <x v="7"/>
    <s v="Appliances"/>
    <n v="1"/>
    <n v="79.989999999999995"/>
    <s v="Cash"/>
    <x v="2"/>
    <s v="Standard"/>
    <d v="2022-12-22T00:00:00"/>
    <n v="79.989999999999995"/>
    <n v="3"/>
    <d v="2026-09-25T00:00:00"/>
    <d v="1899-12-30T00:00:00"/>
    <x v="11"/>
  </r>
  <r>
    <s v="TRX0128"/>
    <x v="26"/>
    <s v="CUST040"/>
    <s v="Sharon Butler"/>
    <s v="P005"/>
    <x v="1"/>
    <s v="Appliances"/>
    <n v="2"/>
    <n v="59.99"/>
    <s v="Cash"/>
    <x v="3"/>
    <s v="Basic"/>
    <d v="2024-04-08T00:00:00"/>
    <n v="119.98"/>
    <n v="2"/>
    <d v="2026-09-25T00:00:00"/>
    <d v="1899-12-30T00:00:00"/>
    <x v="22"/>
  </r>
  <r>
    <s v="TRX0117"/>
    <x v="26"/>
    <s v="CUST017"/>
    <s v="Charles Allen"/>
    <s v="P010"/>
    <x v="8"/>
    <s v="Electronics"/>
    <n v="1"/>
    <n v="89.99"/>
    <s v="Cash"/>
    <x v="2"/>
    <s v="Basic"/>
    <d v="2023-08-03T00:00:00"/>
    <n v="89.99"/>
    <n v="3"/>
    <d v="2026-09-25T00:00:00"/>
    <d v="1899-12-30T00:00:00"/>
    <x v="14"/>
  </r>
  <r>
    <s v="TRX0208"/>
    <x v="27"/>
    <s v="CUST004"/>
    <s v="Sarah Davis"/>
    <s v="P010"/>
    <x v="8"/>
    <s v="Electronics"/>
    <n v="5"/>
    <n v="89.99"/>
    <s v="Credit Card"/>
    <x v="4"/>
    <s v="Standard"/>
    <d v="2022-01-26T00:00:00"/>
    <n v="449.95"/>
    <n v="4"/>
    <d v="2026-09-25T00:00:00"/>
    <d v="1899-12-30T00:00:00"/>
    <x v="1"/>
  </r>
  <r>
    <s v="TRX0234"/>
    <x v="28"/>
    <s v="CUST013"/>
    <s v="Joseph Jackson"/>
    <s v="P009"/>
    <x v="0"/>
    <s v="Electronics"/>
    <n v="5"/>
    <n v="249.99"/>
    <s v="Credit Card"/>
    <x v="4"/>
    <s v="Standard"/>
    <d v="2022-05-26T00:00:00"/>
    <n v="1249.95"/>
    <n v="4"/>
    <d v="2026-09-25T00:00:00"/>
    <d v="1899-12-30T00:00:00"/>
    <x v="23"/>
  </r>
  <r>
    <s v="TRX0121"/>
    <x v="28"/>
    <s v="CUST028"/>
    <s v="Betty Campbell"/>
    <s v="P010"/>
    <x v="8"/>
    <s v="Electronics"/>
    <n v="1"/>
    <n v="89.99"/>
    <s v="Credit Card"/>
    <x v="1"/>
    <s v="Standard"/>
    <d v="2022-01-21T00:00:00"/>
    <n v="89.99"/>
    <n v="4"/>
    <d v="2026-09-25T00:00:00"/>
    <d v="1899-12-30T00:00:00"/>
    <x v="1"/>
  </r>
  <r>
    <s v="TRX0220"/>
    <x v="29"/>
    <s v="CUST003"/>
    <s v="Michael Brown"/>
    <s v="P008"/>
    <x v="2"/>
    <s v="Furniture"/>
    <n v="2"/>
    <n v="149.99"/>
    <s v="Cash"/>
    <x v="4"/>
    <s v="Premium"/>
    <d v="2022-03-25T00:00:00"/>
    <n v="299.98"/>
    <n v="4"/>
    <d v="2026-09-25T00:00:00"/>
    <d v="1899-12-30T00:00:00"/>
    <x v="24"/>
  </r>
  <r>
    <s v="TRX0093"/>
    <x v="30"/>
    <s v="CUST050"/>
    <s v="Julie Foster"/>
    <s v="P005"/>
    <x v="1"/>
    <s v="Appliances"/>
    <n v="4"/>
    <n v="59.99"/>
    <s v="Cash"/>
    <x v="4"/>
    <s v="Standard"/>
    <d v="2021-08-27T00:00:00"/>
    <n v="239.96"/>
    <n v="5"/>
    <d v="2026-09-25T00:00:00"/>
    <d v="1899-12-30T00:00:00"/>
    <x v="0"/>
  </r>
  <r>
    <s v="TRX0088"/>
    <x v="31"/>
    <s v="CUST006"/>
    <s v="Lisa Anderson"/>
    <s v="P010"/>
    <x v="8"/>
    <s v="Electronics"/>
    <n v="5"/>
    <n v="89.99"/>
    <s v="Cash"/>
    <x v="0"/>
    <s v="Premium"/>
    <d v="2022-01-18T00:00:00"/>
    <n v="449.95"/>
    <n v="4"/>
    <d v="2026-09-25T00:00:00"/>
    <d v="1899-12-30T00:00:00"/>
    <x v="1"/>
  </r>
  <r>
    <s v="TRX0115"/>
    <x v="32"/>
    <s v="CUST012"/>
    <s v="Patricia Moore"/>
    <s v="P010"/>
    <x v="8"/>
    <s v="Electronics"/>
    <n v="2"/>
    <n v="89.99"/>
    <s v="Credit Card"/>
    <x v="1"/>
    <s v="Premium"/>
    <d v="2021-10-02T00:00:00"/>
    <n v="179.98"/>
    <n v="4"/>
    <d v="2026-09-25T00:00:00"/>
    <d v="1899-12-30T00:00:00"/>
    <x v="25"/>
  </r>
  <r>
    <s v="TRX0154"/>
    <x v="32"/>
    <s v="CUST023"/>
    <s v="Paul Baker"/>
    <s v="P001"/>
    <x v="4"/>
    <s v="Electronics"/>
    <n v="5"/>
    <n v="899.99"/>
    <s v="Credit Card"/>
    <x v="1"/>
    <s v="Standard"/>
    <d v="2023-02-17T00:00:00"/>
    <n v="4499.95"/>
    <n v="3"/>
    <d v="2026-09-25T00:00:00"/>
    <d v="1899-12-30T00:00:00"/>
    <x v="26"/>
  </r>
  <r>
    <s v="TRX0044"/>
    <x v="32"/>
    <s v="CUST029"/>
    <s v="Edward Mitchell"/>
    <s v="P001"/>
    <x v="4"/>
    <s v="Electronics"/>
    <n v="5"/>
    <n v="899.99"/>
    <s v="PayPal"/>
    <x v="4"/>
    <s v="Premium"/>
    <d v="2023-12-18T00:00:00"/>
    <n v="4499.95"/>
    <n v="2"/>
    <d v="2026-09-25T00:00:00"/>
    <d v="1899-12-30T00:00:00"/>
    <x v="2"/>
  </r>
  <r>
    <s v="TRX0061"/>
    <x v="33"/>
    <s v="CUST028"/>
    <s v="Betty Campbell"/>
    <s v="P005"/>
    <x v="1"/>
    <s v="Appliances"/>
    <n v="1"/>
    <n v="59.99"/>
    <s v="Debit Card"/>
    <x v="3"/>
    <s v="Premium"/>
    <d v="2023-09-21T00:00:00"/>
    <n v="59.99"/>
    <n v="3"/>
    <d v="2026-09-25T00:00:00"/>
    <d v="1899-12-30T00:00:00"/>
    <x v="27"/>
  </r>
  <r>
    <s v="TRX0150"/>
    <x v="33"/>
    <s v="CUST008"/>
    <s v="Jennifer Taylor"/>
    <s v="P007"/>
    <x v="6"/>
    <s v="Furniture"/>
    <n v="2"/>
    <n v="299.99"/>
    <s v="Debit Card"/>
    <x v="4"/>
    <s v="Standard"/>
    <d v="2023-11-23T00:00:00"/>
    <n v="599.98"/>
    <n v="2"/>
    <d v="2026-09-25T00:00:00"/>
    <d v="1899-12-30T00:00:00"/>
    <x v="28"/>
  </r>
  <r>
    <s v="TRX0025"/>
    <x v="34"/>
    <s v="CUST049"/>
    <s v="Raymond Ross"/>
    <s v="P010"/>
    <x v="8"/>
    <s v="Electronics"/>
    <n v="4"/>
    <n v="89.99"/>
    <s v="Debit Card"/>
    <x v="1"/>
    <s v="Basic"/>
    <d v="2023-12-21T00:00:00"/>
    <n v="359.96"/>
    <n v="2"/>
    <d v="2026-09-25T00:00:00"/>
    <d v="1899-12-30T00:00:00"/>
    <x v="2"/>
  </r>
  <r>
    <s v="TRX0078"/>
    <x v="35"/>
    <s v="CUST021"/>
    <s v="Kevin Scott"/>
    <s v="P004"/>
    <x v="7"/>
    <s v="Appliances"/>
    <n v="1"/>
    <n v="79.989999999999995"/>
    <s v="PayPal"/>
    <x v="0"/>
    <s v="Premium"/>
    <d v="2024-03-01T00:00:00"/>
    <n v="79.989999999999995"/>
    <n v="2"/>
    <d v="2026-09-25T00:00:00"/>
    <d v="1899-12-30T00:00:00"/>
    <x v="12"/>
  </r>
  <r>
    <s v="TRX0007"/>
    <x v="35"/>
    <s v="CUST009"/>
    <s v="Robert Thomas"/>
    <s v="P010"/>
    <x v="8"/>
    <s v="Electronics"/>
    <n v="2"/>
    <n v="89.99"/>
    <s v="Cash"/>
    <x v="3"/>
    <s v="Basic"/>
    <d v="2021-08-30T00:00:00"/>
    <n v="179.98"/>
    <n v="5"/>
    <d v="2026-09-25T00:00:00"/>
    <d v="1899-12-30T00:00:00"/>
    <x v="0"/>
  </r>
  <r>
    <s v="TRX0184"/>
    <x v="36"/>
    <s v="CUST046"/>
    <s v="Kathleen Bennett"/>
    <s v="P002"/>
    <x v="5"/>
    <s v="Electronics"/>
    <n v="3"/>
    <n v="699.99"/>
    <s v="Credit Card"/>
    <x v="4"/>
    <s v="Premium"/>
    <d v="2023-06-25T00:00:00"/>
    <n v="2099.9700000000003"/>
    <n v="3"/>
    <d v="2026-09-25T00:00:00"/>
    <d v="1899-12-30T00:00:00"/>
    <x v="8"/>
  </r>
  <r>
    <s v="TRX0104"/>
    <x v="36"/>
    <s v="CUST012"/>
    <s v="Patricia Moore"/>
    <s v="P001"/>
    <x v="4"/>
    <s v="Electronics"/>
    <n v="4"/>
    <n v="899.99"/>
    <s v="Credit Card"/>
    <x v="4"/>
    <s v="Premium"/>
    <d v="2023-03-08T00:00:00"/>
    <n v="3599.96"/>
    <n v="3"/>
    <d v="2026-09-25T00:00:00"/>
    <d v="1899-12-30T00:00:00"/>
    <x v="6"/>
  </r>
  <r>
    <s v="TRX0127"/>
    <x v="37"/>
    <s v="CUST030"/>
    <s v="Helen Roberts"/>
    <s v="P008"/>
    <x v="2"/>
    <s v="Furniture"/>
    <n v="1"/>
    <n v="149.99"/>
    <s v="PayPal"/>
    <x v="4"/>
    <s v="Basic"/>
    <d v="2022-10-17T00:00:00"/>
    <n v="149.99"/>
    <n v="3"/>
    <d v="2026-09-25T00:00:00"/>
    <d v="1899-12-30T00:00:00"/>
    <x v="29"/>
  </r>
  <r>
    <s v="TRX0096"/>
    <x v="38"/>
    <s v="CUST002"/>
    <s v="Emma Wilson"/>
    <s v="P010"/>
    <x v="8"/>
    <s v="Electronics"/>
    <n v="2"/>
    <n v="89.99"/>
    <s v="PayPal"/>
    <x v="0"/>
    <s v="Premium"/>
    <d v="2023-12-15T00:00:00"/>
    <n v="179.98"/>
    <n v="2"/>
    <d v="2026-09-25T00:00:00"/>
    <d v="1899-12-30T00:00:00"/>
    <x v="2"/>
  </r>
  <r>
    <s v="TRX0192"/>
    <x v="39"/>
    <s v="CUST017"/>
    <s v="Charles Allen"/>
    <s v="P010"/>
    <x v="8"/>
    <s v="Electronics"/>
    <n v="1"/>
    <n v="89.99"/>
    <s v="PayPal"/>
    <x v="3"/>
    <s v="Standard"/>
    <d v="2022-08-29T00:00:00"/>
    <n v="89.99"/>
    <n v="4"/>
    <d v="2026-09-25T00:00:00"/>
    <d v="1899-12-30T00:00:00"/>
    <x v="13"/>
  </r>
  <r>
    <s v="TRX0052"/>
    <x v="40"/>
    <s v="CUST022"/>
    <s v="Susan Green"/>
    <s v="P010"/>
    <x v="8"/>
    <s v="Electronics"/>
    <n v="1"/>
    <n v="89.99"/>
    <s v="Cash"/>
    <x v="1"/>
    <s v="Standard"/>
    <d v="2022-02-19T00:00:00"/>
    <n v="89.99"/>
    <n v="4"/>
    <d v="2026-09-25T00:00:00"/>
    <d v="1899-12-30T00:00:00"/>
    <x v="30"/>
  </r>
  <r>
    <s v="TRX0070"/>
    <x v="40"/>
    <s v="CUST007"/>
    <s v="David Martinez"/>
    <s v="P004"/>
    <x v="7"/>
    <s v="Appliances"/>
    <n v="5"/>
    <n v="79.989999999999995"/>
    <s v="Debit Card"/>
    <x v="0"/>
    <s v="Basic"/>
    <d v="2023-02-24T00:00:00"/>
    <n v="399.95"/>
    <n v="3"/>
    <d v="2026-09-25T00:00:00"/>
    <d v="1899-12-30T00:00:00"/>
    <x v="26"/>
  </r>
  <r>
    <s v="TRX0086"/>
    <x v="41"/>
    <s v="CUST020"/>
    <s v="Margaret Wright"/>
    <s v="P008"/>
    <x v="2"/>
    <s v="Furniture"/>
    <n v="1"/>
    <n v="149.99"/>
    <s v="PayPal"/>
    <x v="2"/>
    <s v="Basic"/>
    <d v="2021-08-13T00:00:00"/>
    <n v="149.99"/>
    <n v="5"/>
    <d v="2026-09-25T00:00:00"/>
    <d v="1899-12-30T00:00:00"/>
    <x v="0"/>
  </r>
  <r>
    <s v="TRX0113"/>
    <x v="41"/>
    <s v="CUST003"/>
    <s v="Michael Brown"/>
    <s v="P002"/>
    <x v="5"/>
    <s v="Electronics"/>
    <n v="2"/>
    <n v="699.99"/>
    <s v="PayPal"/>
    <x v="4"/>
    <s v="Premium"/>
    <d v="2024-04-07T00:00:00"/>
    <n v="1399.98"/>
    <n v="2"/>
    <d v="2026-09-25T00:00:00"/>
    <d v="1899-12-30T00:00:00"/>
    <x v="22"/>
  </r>
  <r>
    <s v="TRX0114"/>
    <x v="41"/>
    <s v="CUST018"/>
    <s v="Barbara Young"/>
    <s v="P010"/>
    <x v="8"/>
    <s v="Electronics"/>
    <n v="5"/>
    <n v="89.99"/>
    <s v="Debit Card"/>
    <x v="2"/>
    <s v="Premium"/>
    <d v="2023-08-23T00:00:00"/>
    <n v="449.95"/>
    <n v="3"/>
    <d v="2026-09-25T00:00:00"/>
    <d v="1899-12-30T00:00:00"/>
    <x v="14"/>
  </r>
  <r>
    <s v="TRX0136"/>
    <x v="42"/>
    <s v="CUST049"/>
    <s v="Raymond Ross"/>
    <s v="P005"/>
    <x v="1"/>
    <s v="Appliances"/>
    <n v="4"/>
    <n v="59.99"/>
    <s v="Cash"/>
    <x v="1"/>
    <s v="Standard"/>
    <d v="2021-11-09T00:00:00"/>
    <n v="239.96"/>
    <n v="4"/>
    <d v="2026-09-25T00:00:00"/>
    <d v="1899-12-30T00:00:00"/>
    <x v="17"/>
  </r>
  <r>
    <s v="TRX0018"/>
    <x v="43"/>
    <s v="CUST013"/>
    <s v="Joseph Jackson"/>
    <s v="P003"/>
    <x v="3"/>
    <s v="Electronics"/>
    <n v="1"/>
    <n v="149.99"/>
    <s v="Cash"/>
    <x v="0"/>
    <s v="Standard"/>
    <d v="2022-12-14T00:00:00"/>
    <n v="149.99"/>
    <n v="3"/>
    <d v="2026-09-25T00:00:00"/>
    <d v="1899-12-30T00:00:00"/>
    <x v="11"/>
  </r>
  <r>
    <s v="TRX0141"/>
    <x v="43"/>
    <s v="CUST033"/>
    <s v="Frank Torres"/>
    <s v="P007"/>
    <x v="6"/>
    <s v="Furniture"/>
    <n v="1"/>
    <n v="299.99"/>
    <s v="Credit Card"/>
    <x v="2"/>
    <s v="Premium"/>
    <d v="2022-11-26T00:00:00"/>
    <n v="299.99"/>
    <n v="3"/>
    <d v="2026-09-25T00:00:00"/>
    <d v="1899-12-30T00:00:00"/>
    <x v="18"/>
  </r>
  <r>
    <s v="TRX0097"/>
    <x v="44"/>
    <s v="CUST033"/>
    <s v="Frank Torres"/>
    <s v="P006"/>
    <x v="9"/>
    <s v="Furniture"/>
    <n v="2"/>
    <n v="199.99"/>
    <s v="Cash"/>
    <x v="2"/>
    <s v="Basic"/>
    <d v="2021-12-11T00:00:00"/>
    <n v="399.98"/>
    <n v="4"/>
    <d v="2026-09-25T00:00:00"/>
    <d v="1899-12-30T00:00:00"/>
    <x v="31"/>
  </r>
  <r>
    <s v="TRX0169"/>
    <x v="45"/>
    <s v="CUST047"/>
    <s v="Gerald Murphy"/>
    <s v="P005"/>
    <x v="1"/>
    <s v="Appliances"/>
    <n v="3"/>
    <n v="59.99"/>
    <s v="Credit Card"/>
    <x v="3"/>
    <s v="Basic"/>
    <d v="2023-07-23T00:00:00"/>
    <n v="179.97"/>
    <n v="3"/>
    <d v="2026-09-25T00:00:00"/>
    <d v="1899-12-30T00:00:00"/>
    <x v="3"/>
  </r>
  <r>
    <s v="TRX0216"/>
    <x v="45"/>
    <s v="CUST041"/>
    <s v="Peter Richardson"/>
    <s v="P008"/>
    <x v="2"/>
    <s v="Furniture"/>
    <n v="3"/>
    <n v="149.99"/>
    <s v="Cash"/>
    <x v="0"/>
    <s v="Premium"/>
    <d v="2023-09-30T00:00:00"/>
    <n v="449.97"/>
    <n v="2"/>
    <d v="2026-09-25T00:00:00"/>
    <d v="1899-12-30T00:00:00"/>
    <x v="27"/>
  </r>
  <r>
    <s v="TRX0131"/>
    <x v="46"/>
    <s v="CUST026"/>
    <s v="Karen Hill"/>
    <s v="P006"/>
    <x v="9"/>
    <s v="Furniture"/>
    <n v="3"/>
    <n v="199.99"/>
    <s v="Cash"/>
    <x v="2"/>
    <s v="Premium"/>
    <d v="2023-11-24T00:00:00"/>
    <n v="599.97"/>
    <n v="2"/>
    <d v="2026-09-25T00:00:00"/>
    <d v="1899-12-30T00:00:00"/>
    <x v="28"/>
  </r>
  <r>
    <s v="TRX0162"/>
    <x v="47"/>
    <s v="CUST040"/>
    <s v="Sharon Butler"/>
    <s v="P001"/>
    <x v="4"/>
    <s v="Electronics"/>
    <n v="1"/>
    <n v="899.99"/>
    <s v="Cash"/>
    <x v="0"/>
    <s v="Standard"/>
    <d v="2023-09-10T00:00:00"/>
    <n v="899.99"/>
    <n v="3"/>
    <d v="2026-09-25T00:00:00"/>
    <d v="1899-12-30T00:00:00"/>
    <x v="27"/>
  </r>
  <r>
    <s v="TRX0244"/>
    <x v="48"/>
    <s v="CUST013"/>
    <s v="Joseph Jackson"/>
    <s v="P001"/>
    <x v="4"/>
    <s v="Electronics"/>
    <n v="5"/>
    <n v="899.99"/>
    <s v="Debit Card"/>
    <x v="1"/>
    <s v="Standard"/>
    <d v="2022-12-04T00:00:00"/>
    <n v="4499.95"/>
    <n v="3"/>
    <d v="2026-09-25T00:00:00"/>
    <d v="1899-12-30T00:00:00"/>
    <x v="11"/>
  </r>
  <r>
    <s v="TRX0006"/>
    <x v="49"/>
    <s v="CUST007"/>
    <s v="David Martinez"/>
    <s v="P005"/>
    <x v="1"/>
    <s v="Appliances"/>
    <n v="2"/>
    <n v="59.99"/>
    <s v="Cash"/>
    <x v="2"/>
    <s v="Standard"/>
    <d v="2023-08-14T00:00:00"/>
    <n v="119.98"/>
    <n v="3"/>
    <d v="2026-09-25T00:00:00"/>
    <d v="1899-12-30T00:00:00"/>
    <x v="14"/>
  </r>
  <r>
    <s v="TRX0215"/>
    <x v="49"/>
    <s v="CUST047"/>
    <s v="Gerald Murphy"/>
    <s v="P009"/>
    <x v="0"/>
    <s v="Electronics"/>
    <n v="4"/>
    <n v="249.99"/>
    <s v="Debit Card"/>
    <x v="0"/>
    <s v="Standard"/>
    <d v="2023-07-20T00:00:00"/>
    <n v="999.96"/>
    <n v="3"/>
    <d v="2026-09-25T00:00:00"/>
    <d v="1899-12-30T00:00:00"/>
    <x v="3"/>
  </r>
  <r>
    <s v="TRX0080"/>
    <x v="50"/>
    <s v="CUST018"/>
    <s v="Barbara Young"/>
    <s v="P009"/>
    <x v="0"/>
    <s v="Electronics"/>
    <n v="2"/>
    <n v="249.99"/>
    <s v="Cash"/>
    <x v="2"/>
    <s v="Premium"/>
    <d v="2023-08-26T00:00:00"/>
    <n v="499.98"/>
    <n v="3"/>
    <d v="2026-09-25T00:00:00"/>
    <d v="1899-12-30T00:00:00"/>
    <x v="14"/>
  </r>
  <r>
    <s v="TRX0228"/>
    <x v="50"/>
    <s v="CUST019"/>
    <s v="Daniel King"/>
    <s v="P007"/>
    <x v="6"/>
    <s v="Furniture"/>
    <n v="1"/>
    <n v="299.99"/>
    <s v="Cash"/>
    <x v="1"/>
    <s v="Basic"/>
    <d v="2023-02-25T00:00:00"/>
    <n v="299.99"/>
    <n v="3"/>
    <d v="2026-09-25T00:00:00"/>
    <d v="1899-12-30T00:00:00"/>
    <x v="26"/>
  </r>
  <r>
    <s v="TRX0157"/>
    <x v="51"/>
    <s v="CUST025"/>
    <s v="Mark Carter"/>
    <s v="P010"/>
    <x v="8"/>
    <s v="Electronics"/>
    <n v="2"/>
    <n v="89.99"/>
    <s v="PayPal"/>
    <x v="1"/>
    <s v="Basic"/>
    <d v="2023-02-19T00:00:00"/>
    <n v="179.98"/>
    <n v="3"/>
    <d v="2026-09-25T00:00:00"/>
    <d v="1899-12-30T00:00:00"/>
    <x v="26"/>
  </r>
  <r>
    <s v="TRX0002"/>
    <x v="51"/>
    <s v="CUST019"/>
    <s v="Daniel King"/>
    <s v="P007"/>
    <x v="6"/>
    <s v="Furniture"/>
    <n v="3"/>
    <n v="299.99"/>
    <s v="Cash"/>
    <x v="0"/>
    <s v="Basic"/>
    <d v="2022-06-20T00:00:00"/>
    <n v="899.97"/>
    <n v="4"/>
    <d v="2026-09-25T00:00:00"/>
    <d v="1899-12-30T00:00:00"/>
    <x v="16"/>
  </r>
  <r>
    <s v="TRX0217"/>
    <x v="52"/>
    <s v="CUST025"/>
    <s v="Mark Carter"/>
    <s v="P002"/>
    <x v="5"/>
    <s v="Electronics"/>
    <n v="2"/>
    <n v="699.99"/>
    <s v="Credit Card"/>
    <x v="2"/>
    <s v="Premium"/>
    <d v="2023-03-14T00:00:00"/>
    <n v="1399.98"/>
    <n v="3"/>
    <d v="2026-09-25T00:00:00"/>
    <d v="1899-12-30T00:00:00"/>
    <x v="6"/>
  </r>
  <r>
    <s v="TRX0249"/>
    <x v="53"/>
    <s v="CUST030"/>
    <s v="Helen Roberts"/>
    <s v="P001"/>
    <x v="4"/>
    <s v="Electronics"/>
    <n v="4"/>
    <n v="899.99"/>
    <s v="Debit Card"/>
    <x v="1"/>
    <s v="Standard"/>
    <d v="2021-11-23T00:00:00"/>
    <n v="3599.96"/>
    <n v="4"/>
    <d v="2026-09-25T00:00:00"/>
    <d v="1899-12-30T00:00:00"/>
    <x v="17"/>
  </r>
  <r>
    <s v="TRX0065"/>
    <x v="54"/>
    <s v="CUST016"/>
    <s v="Elizabeth Hall"/>
    <s v="P008"/>
    <x v="2"/>
    <s v="Furniture"/>
    <n v="2"/>
    <n v="149.99"/>
    <s v="Credit Card"/>
    <x v="3"/>
    <s v="Basic"/>
    <d v="2021-12-12T00:00:00"/>
    <n v="299.98"/>
    <n v="4"/>
    <d v="2026-09-25T00:00:00"/>
    <d v="1899-12-30T00:00:00"/>
    <x v="31"/>
  </r>
  <r>
    <s v="TRX0176"/>
    <x v="55"/>
    <s v="CUST044"/>
    <s v="Cynthia Price"/>
    <s v="P008"/>
    <x v="2"/>
    <s v="Furniture"/>
    <n v="2"/>
    <n v="149.99"/>
    <s v="Debit Card"/>
    <x v="4"/>
    <s v="Standard"/>
    <d v="2022-04-16T00:00:00"/>
    <n v="299.98"/>
    <n v="4"/>
    <d v="2026-09-25T00:00:00"/>
    <d v="1899-12-30T00:00:00"/>
    <x v="32"/>
  </r>
  <r>
    <s v="TRX0101"/>
    <x v="56"/>
    <s v="CUST010"/>
    <s v="Maria Garcia"/>
    <s v="P010"/>
    <x v="8"/>
    <s v="Electronics"/>
    <n v="1"/>
    <n v="89.99"/>
    <s v="Credit Card"/>
    <x v="2"/>
    <s v="Standard"/>
    <d v="2024-04-11T00:00:00"/>
    <n v="89.99"/>
    <n v="2"/>
    <d v="2026-09-25T00:00:00"/>
    <d v="1899-12-30T00:00:00"/>
    <x v="22"/>
  </r>
  <r>
    <s v="TRX0205"/>
    <x v="57"/>
    <s v="CUST025"/>
    <s v="Mark Carter"/>
    <s v="P007"/>
    <x v="6"/>
    <s v="Furniture"/>
    <n v="5"/>
    <n v="299.99"/>
    <s v="Credit Card"/>
    <x v="2"/>
    <s v="Basic"/>
    <d v="2023-02-08T00:00:00"/>
    <n v="1499.95"/>
    <n v="3"/>
    <d v="2026-09-25T00:00:00"/>
    <d v="1899-12-30T00:00:00"/>
    <x v="26"/>
  </r>
  <r>
    <s v="TRX0020"/>
    <x v="58"/>
    <s v="CUST007"/>
    <s v="David Martinez"/>
    <s v="P003"/>
    <x v="3"/>
    <s v="Electronics"/>
    <n v="4"/>
    <n v="149.99"/>
    <s v="Debit Card"/>
    <x v="1"/>
    <s v="Premium"/>
    <d v="2022-09-16T00:00:00"/>
    <n v="599.96"/>
    <n v="4"/>
    <d v="2026-09-25T00:00:00"/>
    <d v="1899-12-30T00:00:00"/>
    <x v="9"/>
  </r>
  <r>
    <s v="TRX0075"/>
    <x v="58"/>
    <s v="CUST020"/>
    <s v="Margaret Wright"/>
    <s v="P009"/>
    <x v="0"/>
    <s v="Electronics"/>
    <n v="5"/>
    <n v="249.99"/>
    <s v="PayPal"/>
    <x v="4"/>
    <s v="Premium"/>
    <d v="2022-08-09T00:00:00"/>
    <n v="1249.95"/>
    <n v="4"/>
    <d v="2026-09-25T00:00:00"/>
    <d v="1899-12-30T00:00:00"/>
    <x v="13"/>
  </r>
  <r>
    <s v="TRX0098"/>
    <x v="58"/>
    <s v="CUST026"/>
    <s v="Karen Hill"/>
    <s v="P009"/>
    <x v="0"/>
    <s v="Electronics"/>
    <n v="3"/>
    <n v="249.99"/>
    <s v="PayPal"/>
    <x v="2"/>
    <s v="Premium"/>
    <d v="2021-09-26T00:00:00"/>
    <n v="749.97"/>
    <n v="4"/>
    <d v="2026-09-25T00:00:00"/>
    <d v="1899-12-30T00:00:00"/>
    <x v="15"/>
  </r>
  <r>
    <s v="TRX0247"/>
    <x v="58"/>
    <s v="CUST046"/>
    <s v="Kathleen Bennett"/>
    <s v="P006"/>
    <x v="9"/>
    <s v="Furniture"/>
    <n v="4"/>
    <n v="199.99"/>
    <s v="Cash"/>
    <x v="2"/>
    <s v="Standard"/>
    <d v="2021-09-19T00:00:00"/>
    <n v="799.96"/>
    <n v="5"/>
    <d v="2026-09-25T00:00:00"/>
    <d v="1899-12-30T00:00:00"/>
    <x v="15"/>
  </r>
  <r>
    <s v="TRX0027"/>
    <x v="59"/>
    <s v="CUST028"/>
    <s v="Betty Campbell"/>
    <s v="P006"/>
    <x v="9"/>
    <s v="Furniture"/>
    <n v="5"/>
    <n v="199.99"/>
    <s v="Cash"/>
    <x v="2"/>
    <s v="Premium"/>
    <d v="2023-03-06T00:00:00"/>
    <n v="999.95"/>
    <n v="3"/>
    <d v="2026-09-25T00:00:00"/>
    <d v="1899-12-30T00:00:00"/>
    <x v="6"/>
  </r>
  <r>
    <s v="TRX0140"/>
    <x v="60"/>
    <s v="CUST025"/>
    <s v="Mark Carter"/>
    <s v="P010"/>
    <x v="8"/>
    <s v="Electronics"/>
    <n v="2"/>
    <n v="89.99"/>
    <s v="Cash"/>
    <x v="4"/>
    <s v="Premium"/>
    <d v="2023-02-15T00:00:00"/>
    <n v="179.98"/>
    <n v="3"/>
    <d v="2026-09-25T00:00:00"/>
    <d v="1899-12-30T00:00:00"/>
    <x v="26"/>
  </r>
  <r>
    <s v="TRX0132"/>
    <x v="61"/>
    <s v="CUST047"/>
    <s v="Gerald Murphy"/>
    <s v="P001"/>
    <x v="4"/>
    <s v="Electronics"/>
    <n v="5"/>
    <n v="899.99"/>
    <s v="Debit Card"/>
    <x v="4"/>
    <s v="Basic"/>
    <d v="2021-11-26T00:00:00"/>
    <n v="4499.95"/>
    <n v="4"/>
    <d v="2026-09-25T00:00:00"/>
    <d v="1899-12-30T00:00:00"/>
    <x v="17"/>
  </r>
  <r>
    <s v="TRX0031"/>
    <x v="61"/>
    <s v="CUST036"/>
    <s v="Nancy Collins"/>
    <s v="P003"/>
    <x v="3"/>
    <s v="Electronics"/>
    <n v="3"/>
    <n v="149.99"/>
    <s v="PayPal"/>
    <x v="4"/>
    <s v="Basic"/>
    <d v="2022-01-13T00:00:00"/>
    <n v="449.97"/>
    <n v="4"/>
    <d v="2026-09-25T00:00:00"/>
    <d v="1899-12-30T00:00:00"/>
    <x v="1"/>
  </r>
  <r>
    <s v="TRX0236"/>
    <x v="62"/>
    <s v="CUST044"/>
    <s v="Cynthia Price"/>
    <s v="P008"/>
    <x v="2"/>
    <s v="Furniture"/>
    <n v="5"/>
    <n v="149.99"/>
    <s v="Credit Card"/>
    <x v="0"/>
    <s v="Basic"/>
    <d v="2024-01-19T00:00:00"/>
    <n v="749.95"/>
    <n v="2"/>
    <d v="2026-09-25T00:00:00"/>
    <d v="1899-12-30T00:00:00"/>
    <x v="4"/>
  </r>
  <r>
    <s v="TRX0001"/>
    <x v="63"/>
    <s v="CUST039"/>
    <s v="Lawrence Reed"/>
    <s v="P004"/>
    <x v="7"/>
    <s v="Appliances"/>
    <n v="3"/>
    <n v="79.989999999999995"/>
    <s v="Cash"/>
    <x v="0"/>
    <s v="Premium"/>
    <d v="2022-08-06T00:00:00"/>
    <n v="239.96999999999997"/>
    <n v="4"/>
    <d v="2026-09-25T00:00:00"/>
    <d v="1899-12-30T00:00:00"/>
    <x v="13"/>
  </r>
  <r>
    <s v="TRX0037"/>
    <x v="63"/>
    <s v="CUST035"/>
    <s v="Harry Morgan"/>
    <s v="P009"/>
    <x v="0"/>
    <s v="Electronics"/>
    <n v="2"/>
    <n v="249.99"/>
    <s v="Cash"/>
    <x v="1"/>
    <s v="Standard"/>
    <d v="2022-01-11T00:00:00"/>
    <n v="499.98"/>
    <n v="4"/>
    <d v="2026-09-25T00:00:00"/>
    <d v="1899-12-30T00:00:00"/>
    <x v="1"/>
  </r>
  <r>
    <s v="TRX0058"/>
    <x v="64"/>
    <s v="CUST047"/>
    <s v="Gerald Murphy"/>
    <s v="P002"/>
    <x v="5"/>
    <s v="Electronics"/>
    <n v="1"/>
    <n v="699.99"/>
    <s v="Cash"/>
    <x v="0"/>
    <s v="Premium"/>
    <d v="2021-10-28T00:00:00"/>
    <n v="699.99"/>
    <n v="4"/>
    <d v="2026-09-25T00:00:00"/>
    <d v="1899-12-30T00:00:00"/>
    <x v="25"/>
  </r>
  <r>
    <s v="TRX0170"/>
    <x v="64"/>
    <s v="CUST034"/>
    <s v="Carol Evans"/>
    <s v="P003"/>
    <x v="3"/>
    <s v="Electronics"/>
    <n v="3"/>
    <n v="149.99"/>
    <s v="Cash"/>
    <x v="3"/>
    <s v="Premium"/>
    <d v="2023-10-13T00:00:00"/>
    <n v="449.97"/>
    <n v="2"/>
    <d v="2026-09-25T00:00:00"/>
    <d v="1899-12-30T00:00:00"/>
    <x v="7"/>
  </r>
  <r>
    <s v="TRX0248"/>
    <x v="65"/>
    <s v="CUST032"/>
    <s v="Sandra Phillips"/>
    <s v="P002"/>
    <x v="5"/>
    <s v="Electronics"/>
    <n v="2"/>
    <n v="699.99"/>
    <s v="Credit Card"/>
    <x v="2"/>
    <s v="Premium"/>
    <d v="2021-08-13T00:00:00"/>
    <n v="1399.98"/>
    <n v="5"/>
    <d v="2026-09-25T00:00:00"/>
    <d v="1899-12-30T00:00:00"/>
    <x v="0"/>
  </r>
  <r>
    <s v="TRX0099"/>
    <x v="66"/>
    <s v="CUST034"/>
    <s v="Carol Evans"/>
    <s v="P009"/>
    <x v="0"/>
    <s v="Electronics"/>
    <n v="1"/>
    <n v="249.99"/>
    <s v="Credit Card"/>
    <x v="3"/>
    <s v="Premium"/>
    <d v="2022-05-04T00:00:00"/>
    <n v="249.99"/>
    <n v="4"/>
    <d v="2026-09-25T00:00:00"/>
    <d v="1899-12-30T00:00:00"/>
    <x v="23"/>
  </r>
  <r>
    <s v="TRX0074"/>
    <x v="66"/>
    <s v="CUST023"/>
    <s v="Paul Baker"/>
    <s v="P009"/>
    <x v="0"/>
    <s v="Electronics"/>
    <n v="1"/>
    <n v="249.99"/>
    <s v="Debit Card"/>
    <x v="2"/>
    <s v="Premium"/>
    <d v="2024-02-10T00:00:00"/>
    <n v="249.99"/>
    <n v="2"/>
    <d v="2026-09-25T00:00:00"/>
    <d v="1899-12-30T00:00:00"/>
    <x v="10"/>
  </r>
  <r>
    <s v="TRX0225"/>
    <x v="67"/>
    <s v="CUST039"/>
    <s v="Lawrence Reed"/>
    <s v="P002"/>
    <x v="5"/>
    <s v="Electronics"/>
    <n v="2"/>
    <n v="699.99"/>
    <s v="Debit Card"/>
    <x v="0"/>
    <s v="Premium"/>
    <d v="2022-11-05T00:00:00"/>
    <n v="1399.98"/>
    <n v="3"/>
    <d v="2026-09-25T00:00:00"/>
    <d v="1899-12-30T00:00:00"/>
    <x v="18"/>
  </r>
  <r>
    <s v="TRX0100"/>
    <x v="68"/>
    <s v="CUST031"/>
    <s v="Steven Turner"/>
    <s v="P005"/>
    <x v="1"/>
    <s v="Appliances"/>
    <n v="3"/>
    <n v="59.99"/>
    <s v="Credit Card"/>
    <x v="0"/>
    <s v="Premium"/>
    <d v="2022-06-05T00:00:00"/>
    <n v="179.97"/>
    <n v="4"/>
    <d v="2026-09-25T00:00:00"/>
    <d v="1899-12-30T00:00:00"/>
    <x v="16"/>
  </r>
  <r>
    <s v="TRX0142"/>
    <x v="69"/>
    <s v="CUST002"/>
    <s v="Emma Wilson"/>
    <s v="P005"/>
    <x v="1"/>
    <s v="Appliances"/>
    <n v="3"/>
    <n v="59.99"/>
    <s v="PayPal"/>
    <x v="4"/>
    <s v="Standard"/>
    <d v="2022-07-06T00:00:00"/>
    <n v="179.97"/>
    <n v="4"/>
    <d v="2026-09-25T00:00:00"/>
    <d v="1899-12-30T00:00:00"/>
    <x v="5"/>
  </r>
  <r>
    <s v="TRX0112"/>
    <x v="69"/>
    <s v="CUST008"/>
    <s v="Jennifer Taylor"/>
    <s v="P004"/>
    <x v="7"/>
    <s v="Appliances"/>
    <n v="4"/>
    <n v="79.989999999999995"/>
    <s v="Cash"/>
    <x v="2"/>
    <s v="Basic"/>
    <d v="2021-11-30T00:00:00"/>
    <n v="319.95999999999998"/>
    <n v="4"/>
    <d v="2026-09-25T00:00:00"/>
    <d v="1899-12-30T00:00:00"/>
    <x v="17"/>
  </r>
  <r>
    <s v="TRX0161"/>
    <x v="70"/>
    <s v="CUST017"/>
    <s v="Charles Allen"/>
    <s v="P004"/>
    <x v="7"/>
    <s v="Appliances"/>
    <n v="1"/>
    <n v="79.989999999999995"/>
    <s v="Cash"/>
    <x v="3"/>
    <s v="Basic"/>
    <d v="2022-05-12T00:00:00"/>
    <n v="79.989999999999995"/>
    <n v="4"/>
    <d v="2026-09-25T00:00:00"/>
    <d v="1899-12-30T00:00:00"/>
    <x v="23"/>
  </r>
  <r>
    <s v="TRX0108"/>
    <x v="71"/>
    <s v="CUST024"/>
    <s v="Dorothy Nelson"/>
    <s v="P007"/>
    <x v="6"/>
    <s v="Furniture"/>
    <n v="3"/>
    <n v="299.99"/>
    <s v="Credit Card"/>
    <x v="0"/>
    <s v="Premium"/>
    <d v="2021-10-25T00:00:00"/>
    <n v="899.97"/>
    <n v="4"/>
    <d v="2026-09-25T00:00:00"/>
    <d v="1899-12-30T00:00:00"/>
    <x v="25"/>
  </r>
  <r>
    <s v="TRX0211"/>
    <x v="72"/>
    <s v="CUST046"/>
    <s v="Kathleen Bennett"/>
    <s v="P010"/>
    <x v="8"/>
    <s v="Electronics"/>
    <n v="2"/>
    <n v="89.99"/>
    <s v="Credit Card"/>
    <x v="1"/>
    <s v="Premium"/>
    <d v="2022-03-21T00:00:00"/>
    <n v="179.98"/>
    <n v="4"/>
    <d v="2026-09-25T00:00:00"/>
    <d v="1899-12-30T00:00:00"/>
    <x v="24"/>
  </r>
  <r>
    <s v="TRX0005"/>
    <x v="73"/>
    <s v="CUST042"/>
    <s v="Ruth Brooks"/>
    <s v="P003"/>
    <x v="3"/>
    <s v="Electronics"/>
    <n v="4"/>
    <n v="149.99"/>
    <s v="Cash"/>
    <x v="2"/>
    <s v="Basic"/>
    <d v="2022-12-14T00:00:00"/>
    <n v="599.96"/>
    <n v="3"/>
    <d v="2026-09-25T00:00:00"/>
    <d v="1899-12-30T00:00:00"/>
    <x v="11"/>
  </r>
  <r>
    <s v="TRX0195"/>
    <x v="74"/>
    <s v="CUST026"/>
    <s v="Karen Hill"/>
    <s v="P009"/>
    <x v="0"/>
    <s v="Electronics"/>
    <n v="2"/>
    <n v="249.99"/>
    <s v="PayPal"/>
    <x v="1"/>
    <s v="Basic"/>
    <d v="2023-03-08T00:00:00"/>
    <n v="499.98"/>
    <n v="3"/>
    <d v="2026-09-25T00:00:00"/>
    <d v="1899-12-30T00:00:00"/>
    <x v="6"/>
  </r>
  <r>
    <s v="TRX0054"/>
    <x v="74"/>
    <s v="CUST004"/>
    <s v="Sarah Davis"/>
    <s v="P006"/>
    <x v="9"/>
    <s v="Furniture"/>
    <n v="4"/>
    <n v="199.99"/>
    <s v="Debit Card"/>
    <x v="4"/>
    <s v="Basic"/>
    <d v="2021-09-19T00:00:00"/>
    <n v="799.96"/>
    <n v="5"/>
    <d v="2026-09-25T00:00:00"/>
    <d v="1899-12-30T00:00:00"/>
    <x v="15"/>
  </r>
  <r>
    <s v="TRX0077"/>
    <x v="75"/>
    <s v="CUST019"/>
    <s v="Daniel King"/>
    <s v="P010"/>
    <x v="8"/>
    <s v="Electronics"/>
    <n v="5"/>
    <n v="89.99"/>
    <s v="Credit Card"/>
    <x v="4"/>
    <s v="Premium"/>
    <d v="2021-09-07T00:00:00"/>
    <n v="449.95"/>
    <n v="5"/>
    <d v="2026-09-25T00:00:00"/>
    <d v="1899-12-30T00:00:00"/>
    <x v="15"/>
  </r>
  <r>
    <s v="TRX0111"/>
    <x v="75"/>
    <s v="CUST011"/>
    <s v="William White"/>
    <s v="P003"/>
    <x v="3"/>
    <s v="Electronics"/>
    <n v="1"/>
    <n v="149.99"/>
    <s v="PayPal"/>
    <x v="4"/>
    <s v="Standard"/>
    <d v="2021-10-13T00:00:00"/>
    <n v="149.99"/>
    <n v="4"/>
    <d v="2026-09-25T00:00:00"/>
    <d v="1899-12-30T00:00:00"/>
    <x v="25"/>
  </r>
  <r>
    <s v="TRX0123"/>
    <x v="75"/>
    <s v="CUST041"/>
    <s v="Peter Richardson"/>
    <s v="P002"/>
    <x v="5"/>
    <s v="Electronics"/>
    <n v="4"/>
    <n v="699.99"/>
    <s v="PayPal"/>
    <x v="1"/>
    <s v="Basic"/>
    <d v="2022-02-26T00:00:00"/>
    <n v="2799.96"/>
    <n v="4"/>
    <d v="2026-09-25T00:00:00"/>
    <d v="1899-12-30T00:00:00"/>
    <x v="30"/>
  </r>
  <r>
    <s v="TRX0177"/>
    <x v="76"/>
    <s v="CUST032"/>
    <s v="Sandra Phillips"/>
    <s v="P001"/>
    <x v="4"/>
    <s v="Electronics"/>
    <n v="3"/>
    <n v="899.99"/>
    <s v="Credit Card"/>
    <x v="2"/>
    <s v="Standard"/>
    <d v="2023-08-19T00:00:00"/>
    <n v="2699.9700000000003"/>
    <n v="3"/>
    <d v="2026-09-25T00:00:00"/>
    <d v="1899-12-30T00:00:00"/>
    <x v="14"/>
  </r>
  <r>
    <s v="TRX0119"/>
    <x v="77"/>
    <s v="CUST014"/>
    <s v="Linda Martin"/>
    <s v="P008"/>
    <x v="2"/>
    <s v="Furniture"/>
    <n v="3"/>
    <n v="149.99"/>
    <s v="PayPal"/>
    <x v="4"/>
    <s v="Basic"/>
    <d v="2022-11-21T00:00:00"/>
    <n v="449.97"/>
    <n v="3"/>
    <d v="2026-09-25T00:00:00"/>
    <d v="1899-12-30T00:00:00"/>
    <x v="18"/>
  </r>
  <r>
    <s v="TRX0181"/>
    <x v="78"/>
    <s v="CUST012"/>
    <s v="Patricia Moore"/>
    <s v="P007"/>
    <x v="6"/>
    <s v="Furniture"/>
    <n v="2"/>
    <n v="299.99"/>
    <s v="Debit Card"/>
    <x v="0"/>
    <s v="Basic"/>
    <d v="2022-01-08T00:00:00"/>
    <n v="599.98"/>
    <n v="4"/>
    <d v="2026-09-25T00:00:00"/>
    <d v="1899-12-30T00:00:00"/>
    <x v="1"/>
  </r>
  <r>
    <s v="TRX0129"/>
    <x v="79"/>
    <s v="CUST015"/>
    <s v="Richard Lee"/>
    <s v="P006"/>
    <x v="9"/>
    <s v="Furniture"/>
    <n v="1"/>
    <n v="199.99"/>
    <s v="Debit Card"/>
    <x v="4"/>
    <s v="Standard"/>
    <d v="2023-01-27T00:00:00"/>
    <n v="199.99"/>
    <n v="3"/>
    <d v="2026-09-25T00:00:00"/>
    <d v="1899-12-30T00:00:00"/>
    <x v="33"/>
  </r>
  <r>
    <s v="TRX0174"/>
    <x v="80"/>
    <s v="CUST003"/>
    <s v="Michael Brown"/>
    <s v="P007"/>
    <x v="6"/>
    <s v="Furniture"/>
    <n v="4"/>
    <n v="299.99"/>
    <s v="Cash"/>
    <x v="0"/>
    <s v="Premium"/>
    <d v="2021-09-21T00:00:00"/>
    <n v="1199.96"/>
    <n v="5"/>
    <d v="2026-09-25T00:00:00"/>
    <d v="1899-12-30T00:00:00"/>
    <x v="15"/>
  </r>
  <r>
    <s v="TRX0146"/>
    <x v="81"/>
    <s v="CUST010"/>
    <s v="Maria Garcia"/>
    <s v="P005"/>
    <x v="1"/>
    <s v="Appliances"/>
    <n v="2"/>
    <n v="59.99"/>
    <s v="Credit Card"/>
    <x v="0"/>
    <s v="Basic"/>
    <d v="2022-01-18T00:00:00"/>
    <n v="119.98"/>
    <n v="4"/>
    <d v="2026-09-25T00:00:00"/>
    <d v="1899-12-30T00:00:00"/>
    <x v="1"/>
  </r>
  <r>
    <s v="TRX0203"/>
    <x v="81"/>
    <s v="CUST032"/>
    <s v="Sandra Phillips"/>
    <s v="P003"/>
    <x v="3"/>
    <s v="Electronics"/>
    <n v="4"/>
    <n v="149.99"/>
    <s v="Credit Card"/>
    <x v="2"/>
    <s v="Premium"/>
    <d v="2023-05-30T00:00:00"/>
    <n v="599.96"/>
    <n v="3"/>
    <d v="2026-09-25T00:00:00"/>
    <d v="1899-12-30T00:00:00"/>
    <x v="19"/>
  </r>
  <r>
    <s v="TRX0055"/>
    <x v="82"/>
    <s v="CUST016"/>
    <s v="Elizabeth Hall"/>
    <s v="P002"/>
    <x v="5"/>
    <s v="Electronics"/>
    <n v="2"/>
    <n v="699.99"/>
    <s v="Debit Card"/>
    <x v="4"/>
    <s v="Premium"/>
    <d v="2023-12-14T00:00:00"/>
    <n v="1399.98"/>
    <n v="2"/>
    <d v="2026-09-25T00:00:00"/>
    <d v="1899-12-30T00:00:00"/>
    <x v="2"/>
  </r>
  <r>
    <s v="TRX0218"/>
    <x v="82"/>
    <s v="CUST034"/>
    <s v="Carol Evans"/>
    <s v="P008"/>
    <x v="2"/>
    <s v="Furniture"/>
    <n v="3"/>
    <n v="149.99"/>
    <s v="Credit Card"/>
    <x v="1"/>
    <s v="Standard"/>
    <d v="2023-01-14T00:00:00"/>
    <n v="449.97"/>
    <n v="3"/>
    <d v="2026-09-25T00:00:00"/>
    <d v="1899-12-30T00:00:00"/>
    <x v="33"/>
  </r>
  <r>
    <s v="TRX0085"/>
    <x v="83"/>
    <s v="CUST019"/>
    <s v="Daniel King"/>
    <s v="P007"/>
    <x v="6"/>
    <s v="Furniture"/>
    <n v="3"/>
    <n v="299.99"/>
    <s v="Credit Card"/>
    <x v="0"/>
    <s v="Standard"/>
    <d v="2023-09-05T00:00:00"/>
    <n v="899.97"/>
    <n v="3"/>
    <d v="2026-09-25T00:00:00"/>
    <d v="1899-12-30T00:00:00"/>
    <x v="27"/>
  </r>
  <r>
    <s v="TRX0158"/>
    <x v="84"/>
    <s v="CUST027"/>
    <s v="George Adams"/>
    <s v="P001"/>
    <x v="4"/>
    <s v="Electronics"/>
    <n v="3"/>
    <n v="899.99"/>
    <s v="PayPal"/>
    <x v="3"/>
    <s v="Basic"/>
    <d v="2023-10-16T00:00:00"/>
    <n v="2699.9700000000003"/>
    <n v="2"/>
    <d v="2026-09-25T00:00:00"/>
    <d v="1899-12-30T00:00:00"/>
    <x v="7"/>
  </r>
  <r>
    <s v="TRX0173"/>
    <x v="85"/>
    <s v="CUST018"/>
    <s v="Barbara Young"/>
    <s v="P002"/>
    <x v="5"/>
    <s v="Electronics"/>
    <n v="5"/>
    <n v="699.99"/>
    <s v="Cash"/>
    <x v="4"/>
    <s v="Standard"/>
    <d v="2023-03-23T00:00:00"/>
    <n v="3499.95"/>
    <n v="3"/>
    <d v="2026-09-25T00:00:00"/>
    <d v="1899-12-30T00:00:00"/>
    <x v="6"/>
  </r>
  <r>
    <s v="TRX0034"/>
    <x v="85"/>
    <s v="CUST049"/>
    <s v="Raymond Ross"/>
    <s v="P002"/>
    <x v="5"/>
    <s v="Electronics"/>
    <n v="4"/>
    <n v="699.99"/>
    <s v="Credit Card"/>
    <x v="0"/>
    <s v="Basic"/>
    <d v="2024-04-03T00:00:00"/>
    <n v="2799.96"/>
    <n v="2"/>
    <d v="2026-09-25T00:00:00"/>
    <d v="1899-12-30T00:00:00"/>
    <x v="22"/>
  </r>
  <r>
    <s v="TRX0189"/>
    <x v="85"/>
    <s v="CUST040"/>
    <s v="Sharon Butler"/>
    <s v="P001"/>
    <x v="4"/>
    <s v="Electronics"/>
    <n v="1"/>
    <n v="899.99"/>
    <s v="Credit Card"/>
    <x v="4"/>
    <s v="Standard"/>
    <d v="2024-03-18T00:00:00"/>
    <n v="899.99"/>
    <n v="2"/>
    <d v="2026-09-25T00:00:00"/>
    <d v="1899-12-30T00:00:00"/>
    <x v="12"/>
  </r>
  <r>
    <s v="TRX0190"/>
    <x v="86"/>
    <s v="CUST039"/>
    <s v="Lawrence Reed"/>
    <s v="P003"/>
    <x v="3"/>
    <s v="Electronics"/>
    <n v="2"/>
    <n v="149.99"/>
    <s v="Credit Card"/>
    <x v="3"/>
    <s v="Basic"/>
    <d v="2022-12-21T00:00:00"/>
    <n v="299.98"/>
    <n v="3"/>
    <d v="2026-09-25T00:00:00"/>
    <d v="1899-12-30T00:00:00"/>
    <x v="11"/>
  </r>
  <r>
    <s v="TRX0079"/>
    <x v="87"/>
    <s v="CUST039"/>
    <s v="Lawrence Reed"/>
    <s v="P010"/>
    <x v="8"/>
    <s v="Electronics"/>
    <n v="3"/>
    <n v="89.99"/>
    <s v="PayPal"/>
    <x v="0"/>
    <s v="Basic"/>
    <d v="2021-12-21T00:00:00"/>
    <n v="269.96999999999997"/>
    <n v="4"/>
    <d v="2026-09-25T00:00:00"/>
    <d v="1899-12-30T00:00:00"/>
    <x v="31"/>
  </r>
  <r>
    <s v="TRX0095"/>
    <x v="88"/>
    <s v="CUST046"/>
    <s v="Kathleen Bennett"/>
    <s v="P003"/>
    <x v="3"/>
    <s v="Electronics"/>
    <n v="2"/>
    <n v="149.99"/>
    <s v="PayPal"/>
    <x v="0"/>
    <s v="Basic"/>
    <d v="2021-10-04T00:00:00"/>
    <n v="299.98"/>
    <n v="4"/>
    <d v="2026-09-25T00:00:00"/>
    <d v="1899-12-30T00:00:00"/>
    <x v="25"/>
  </r>
  <r>
    <s v="TRX0009"/>
    <x v="88"/>
    <s v="CUST004"/>
    <s v="Sarah Davis"/>
    <s v="P002"/>
    <x v="5"/>
    <s v="Electronics"/>
    <n v="2"/>
    <n v="699.99"/>
    <s v="Cash"/>
    <x v="0"/>
    <s v="Basic"/>
    <d v="2023-03-07T00:00:00"/>
    <n v="1399.98"/>
    <n v="3"/>
    <d v="2026-09-25T00:00:00"/>
    <d v="1899-12-30T00:00:00"/>
    <x v="6"/>
  </r>
  <r>
    <s v="TRX0167"/>
    <x v="89"/>
    <s v="CUST028"/>
    <s v="Betty Campbell"/>
    <s v="P002"/>
    <x v="5"/>
    <s v="Electronics"/>
    <n v="5"/>
    <n v="699.99"/>
    <s v="Cash"/>
    <x v="2"/>
    <s v="Premium"/>
    <d v="2022-03-15T00:00:00"/>
    <n v="3499.95"/>
    <n v="4"/>
    <d v="2026-09-25T00:00:00"/>
    <d v="1899-12-30T00:00:00"/>
    <x v="24"/>
  </r>
  <r>
    <s v="TRX0153"/>
    <x v="90"/>
    <s v="CUST049"/>
    <s v="Raymond Ross"/>
    <s v="P010"/>
    <x v="8"/>
    <s v="Electronics"/>
    <n v="3"/>
    <n v="89.99"/>
    <s v="Credit Card"/>
    <x v="2"/>
    <s v="Standard"/>
    <d v="2022-02-23T00:00:00"/>
    <n v="269.96999999999997"/>
    <n v="4"/>
    <d v="2026-09-25T00:00:00"/>
    <d v="1899-12-30T00:00:00"/>
    <x v="30"/>
  </r>
  <r>
    <s v="TRX0057"/>
    <x v="91"/>
    <s v="CUST023"/>
    <s v="Paul Baker"/>
    <s v="P009"/>
    <x v="0"/>
    <s v="Electronics"/>
    <n v="5"/>
    <n v="249.99"/>
    <s v="Credit Card"/>
    <x v="1"/>
    <s v="Standard"/>
    <d v="2022-11-16T00:00:00"/>
    <n v="1249.95"/>
    <n v="3"/>
    <d v="2026-09-25T00:00:00"/>
    <d v="1899-12-30T00:00:00"/>
    <x v="18"/>
  </r>
  <r>
    <s v="TRX0017"/>
    <x v="92"/>
    <s v="CUST026"/>
    <s v="Karen Hill"/>
    <s v="P007"/>
    <x v="6"/>
    <s v="Furniture"/>
    <n v="3"/>
    <n v="299.99"/>
    <s v="Credit Card"/>
    <x v="1"/>
    <s v="Standard"/>
    <d v="2021-11-02T00:00:00"/>
    <n v="899.97"/>
    <n v="4"/>
    <d v="2026-09-25T00:00:00"/>
    <d v="1899-12-30T00:00:00"/>
    <x v="17"/>
  </r>
  <r>
    <s v="TRX0060"/>
    <x v="93"/>
    <s v="CUST012"/>
    <s v="Patricia Moore"/>
    <s v="P010"/>
    <x v="8"/>
    <s v="Electronics"/>
    <n v="3"/>
    <n v="89.99"/>
    <s v="Credit Card"/>
    <x v="2"/>
    <s v="Premium"/>
    <d v="2021-08-12T00:00:00"/>
    <n v="269.96999999999997"/>
    <n v="5"/>
    <d v="2026-09-25T00:00:00"/>
    <d v="1899-12-30T00:00:00"/>
    <x v="0"/>
  </r>
  <r>
    <s v="TRX0109"/>
    <x v="94"/>
    <s v="CUST010"/>
    <s v="Maria Garcia"/>
    <s v="P008"/>
    <x v="2"/>
    <s v="Furniture"/>
    <n v="2"/>
    <n v="149.99"/>
    <s v="Credit Card"/>
    <x v="3"/>
    <s v="Premium"/>
    <d v="2022-10-14T00:00:00"/>
    <n v="299.98"/>
    <n v="3"/>
    <d v="2026-09-25T00:00:00"/>
    <d v="1899-12-30T00:00:00"/>
    <x v="29"/>
  </r>
  <r>
    <s v="TRX0090"/>
    <x v="95"/>
    <s v="CUST020"/>
    <s v="Margaret Wright"/>
    <s v="P009"/>
    <x v="0"/>
    <s v="Electronics"/>
    <n v="1"/>
    <n v="249.99"/>
    <s v="Credit Card"/>
    <x v="2"/>
    <s v="Premium"/>
    <d v="2022-09-24T00:00:00"/>
    <n v="249.99"/>
    <n v="4"/>
    <d v="2026-09-25T00:00:00"/>
    <d v="1899-12-30T00:00:00"/>
    <x v="9"/>
  </r>
  <r>
    <s v="TRX0035"/>
    <x v="96"/>
    <s v="CUST041"/>
    <s v="Peter Richardson"/>
    <s v="P003"/>
    <x v="3"/>
    <s v="Electronics"/>
    <n v="3"/>
    <n v="149.99"/>
    <s v="Cash"/>
    <x v="2"/>
    <s v="Basic"/>
    <d v="2022-07-27T00:00:00"/>
    <n v="449.97"/>
    <n v="4"/>
    <d v="2026-09-25T00:00:00"/>
    <d v="1899-12-30T00:00:00"/>
    <x v="5"/>
  </r>
  <r>
    <s v="TRX0172"/>
    <x v="96"/>
    <s v="CUST023"/>
    <s v="Paul Baker"/>
    <s v="P005"/>
    <x v="1"/>
    <s v="Appliances"/>
    <n v="5"/>
    <n v="59.99"/>
    <s v="PayPal"/>
    <x v="3"/>
    <s v="Premium"/>
    <d v="2022-05-13T00:00:00"/>
    <n v="299.95"/>
    <n v="4"/>
    <d v="2026-09-25T00:00:00"/>
    <d v="1899-12-30T00:00:00"/>
    <x v="23"/>
  </r>
  <r>
    <s v="TRX0076"/>
    <x v="96"/>
    <s v="CUST012"/>
    <s v="Patricia Moore"/>
    <s v="P009"/>
    <x v="0"/>
    <s v="Electronics"/>
    <n v="4"/>
    <n v="249.99"/>
    <s v="Credit Card"/>
    <x v="3"/>
    <s v="Standard"/>
    <d v="2022-04-08T00:00:00"/>
    <n v="999.96"/>
    <n v="4"/>
    <d v="2026-09-25T00:00:00"/>
    <d v="1899-12-30T00:00:00"/>
    <x v="32"/>
  </r>
  <r>
    <s v="TRX0210"/>
    <x v="97"/>
    <s v="CUST004"/>
    <s v="Sarah Davis"/>
    <s v="P008"/>
    <x v="2"/>
    <s v="Furniture"/>
    <n v="5"/>
    <n v="149.99"/>
    <s v="PayPal"/>
    <x v="0"/>
    <s v="Basic"/>
    <d v="2022-12-06T00:00:00"/>
    <n v="749.95"/>
    <n v="3"/>
    <d v="2026-09-25T00:00:00"/>
    <d v="1899-12-30T00:00:00"/>
    <x v="11"/>
  </r>
  <r>
    <s v="TRX0149"/>
    <x v="97"/>
    <s v="CUST027"/>
    <s v="George Adams"/>
    <s v="P005"/>
    <x v="1"/>
    <s v="Appliances"/>
    <n v="3"/>
    <n v="59.99"/>
    <s v="Debit Card"/>
    <x v="1"/>
    <s v="Standard"/>
    <d v="2023-11-30T00:00:00"/>
    <n v="179.97"/>
    <n v="2"/>
    <d v="2026-09-25T00:00:00"/>
    <d v="1899-12-30T00:00:00"/>
    <x v="28"/>
  </r>
  <r>
    <s v="TRX0073"/>
    <x v="98"/>
    <s v="CUST032"/>
    <s v="Sandra Phillips"/>
    <s v="P008"/>
    <x v="2"/>
    <s v="Furniture"/>
    <n v="5"/>
    <n v="149.99"/>
    <s v="Cash"/>
    <x v="2"/>
    <s v="Basic"/>
    <d v="2022-11-04T00:00:00"/>
    <n v="749.95"/>
    <n v="3"/>
    <d v="2026-09-25T00:00:00"/>
    <d v="1899-12-30T00:00:00"/>
    <x v="18"/>
  </r>
  <r>
    <s v="TRX0033"/>
    <x v="98"/>
    <s v="CUST025"/>
    <s v="Mark Carter"/>
    <s v="P002"/>
    <x v="5"/>
    <s v="Electronics"/>
    <n v="2"/>
    <n v="699.99"/>
    <s v="PayPal"/>
    <x v="3"/>
    <s v="Standard"/>
    <d v="2022-07-28T00:00:00"/>
    <n v="1399.98"/>
    <n v="4"/>
    <d v="2026-09-25T00:00:00"/>
    <d v="1899-12-30T00:00:00"/>
    <x v="5"/>
  </r>
  <r>
    <s v="TRX0160"/>
    <x v="99"/>
    <s v="CUST029"/>
    <s v="Edward Mitchell"/>
    <s v="P006"/>
    <x v="9"/>
    <s v="Furniture"/>
    <n v="4"/>
    <n v="199.99"/>
    <s v="Debit Card"/>
    <x v="0"/>
    <s v="Premium"/>
    <d v="2021-08-19T00:00:00"/>
    <n v="799.96"/>
    <n v="5"/>
    <d v="2026-09-25T00:00:00"/>
    <d v="1899-12-30T00:00:00"/>
    <x v="0"/>
  </r>
  <r>
    <s v="TRX0145"/>
    <x v="100"/>
    <s v="CUST033"/>
    <s v="Frank Torres"/>
    <s v="P005"/>
    <x v="1"/>
    <s v="Appliances"/>
    <n v="1"/>
    <n v="59.99"/>
    <s v="Debit Card"/>
    <x v="3"/>
    <s v="Standard"/>
    <d v="2021-12-30T00:00:00"/>
    <n v="59.99"/>
    <n v="4"/>
    <d v="2026-09-25T00:00:00"/>
    <d v="1899-12-30T00:00:00"/>
    <x v="31"/>
  </r>
  <r>
    <s v="TRX0148"/>
    <x v="100"/>
    <s v="CUST004"/>
    <s v="Sarah Davis"/>
    <s v="P002"/>
    <x v="5"/>
    <s v="Electronics"/>
    <n v="3"/>
    <n v="699.99"/>
    <s v="PayPal"/>
    <x v="3"/>
    <s v="Standard"/>
    <d v="2022-01-22T00:00:00"/>
    <n v="2099.9700000000003"/>
    <n v="4"/>
    <d v="2026-09-25T00:00:00"/>
    <d v="1899-12-30T00:00:00"/>
    <x v="1"/>
  </r>
  <r>
    <s v="TRX0012"/>
    <x v="101"/>
    <s v="CUST045"/>
    <s v="Douglas Watson"/>
    <s v="P009"/>
    <x v="0"/>
    <s v="Electronics"/>
    <n v="5"/>
    <n v="249.99"/>
    <s v="Credit Card"/>
    <x v="2"/>
    <s v="Basic"/>
    <d v="2022-11-08T00:00:00"/>
    <n v="1249.95"/>
    <n v="3"/>
    <d v="2026-09-25T00:00:00"/>
    <d v="1899-12-30T00:00:00"/>
    <x v="18"/>
  </r>
  <r>
    <s v="TRX0206"/>
    <x v="102"/>
    <s v="CUST014"/>
    <s v="Linda Martin"/>
    <s v="P008"/>
    <x v="2"/>
    <s v="Furniture"/>
    <n v="2"/>
    <n v="149.99"/>
    <s v="Cash"/>
    <x v="1"/>
    <s v="Standard"/>
    <d v="2023-06-24T00:00:00"/>
    <n v="299.98"/>
    <n v="3"/>
    <d v="2026-09-25T00:00:00"/>
    <d v="1899-12-30T00:00:00"/>
    <x v="8"/>
  </r>
  <r>
    <s v="TRX0045"/>
    <x v="103"/>
    <s v="CUST021"/>
    <s v="Kevin Scott"/>
    <s v="P007"/>
    <x v="6"/>
    <s v="Furniture"/>
    <n v="3"/>
    <n v="299.99"/>
    <s v="Cash"/>
    <x v="1"/>
    <s v="Premium"/>
    <d v="2022-04-08T00:00:00"/>
    <n v="899.97"/>
    <n v="4"/>
    <d v="2026-09-25T00:00:00"/>
    <d v="1899-12-30T00:00:00"/>
    <x v="32"/>
  </r>
  <r>
    <s v="TRX0094"/>
    <x v="103"/>
    <s v="CUST017"/>
    <s v="Charles Allen"/>
    <s v="P009"/>
    <x v="0"/>
    <s v="Electronics"/>
    <n v="5"/>
    <n v="249.99"/>
    <s v="Cash"/>
    <x v="0"/>
    <s v="Premium"/>
    <d v="2021-10-16T00:00:00"/>
    <n v="1249.95"/>
    <n v="4"/>
    <d v="2026-09-25T00:00:00"/>
    <d v="1899-12-30T00:00:00"/>
    <x v="25"/>
  </r>
  <r>
    <s v="TRX0133"/>
    <x v="103"/>
    <s v="CUST013"/>
    <s v="Joseph Jackson"/>
    <s v="P003"/>
    <x v="3"/>
    <s v="Electronics"/>
    <n v="2"/>
    <n v="149.99"/>
    <s v="Cash"/>
    <x v="1"/>
    <s v="Premium"/>
    <d v="2021-10-06T00:00:00"/>
    <n v="299.98"/>
    <n v="4"/>
    <d v="2026-09-25T00:00:00"/>
    <d v="1899-12-30T00:00:00"/>
    <x v="25"/>
  </r>
  <r>
    <s v="TRX0201"/>
    <x v="103"/>
    <s v="CUST025"/>
    <s v="Mark Carter"/>
    <s v="P002"/>
    <x v="5"/>
    <s v="Electronics"/>
    <n v="5"/>
    <n v="699.99"/>
    <s v="Debit Card"/>
    <x v="3"/>
    <s v="Standard"/>
    <d v="2023-01-18T00:00:00"/>
    <n v="3499.95"/>
    <n v="3"/>
    <d v="2026-09-25T00:00:00"/>
    <d v="1899-12-30T00:00:00"/>
    <x v="33"/>
  </r>
  <r>
    <s v="TRX0137"/>
    <x v="104"/>
    <s v="CUST011"/>
    <s v="William White"/>
    <s v="P009"/>
    <x v="0"/>
    <s v="Electronics"/>
    <n v="4"/>
    <n v="249.99"/>
    <s v="PayPal"/>
    <x v="4"/>
    <s v="Premium"/>
    <d v="2023-06-21T00:00:00"/>
    <n v="999.96"/>
    <n v="3"/>
    <d v="2026-09-25T00:00:00"/>
    <d v="1899-12-30T00:00:00"/>
    <x v="8"/>
  </r>
  <r>
    <s v="TRX0066"/>
    <x v="105"/>
    <s v="CUST024"/>
    <s v="Dorothy Nelson"/>
    <s v="P002"/>
    <x v="5"/>
    <s v="Electronics"/>
    <n v="4"/>
    <n v="699.99"/>
    <s v="Credit Card"/>
    <x v="2"/>
    <s v="Premium"/>
    <d v="2022-05-22T00:00:00"/>
    <n v="2799.96"/>
    <n v="4"/>
    <d v="2026-09-25T00:00:00"/>
    <d v="1899-12-30T00:00:00"/>
    <x v="23"/>
  </r>
  <r>
    <s v="TRX0180"/>
    <x v="106"/>
    <s v="CUST036"/>
    <s v="Nancy Collins"/>
    <s v="P009"/>
    <x v="0"/>
    <s v="Electronics"/>
    <n v="2"/>
    <n v="249.99"/>
    <s v="Credit Card"/>
    <x v="0"/>
    <s v="Premium"/>
    <d v="2021-07-19T00:00:00"/>
    <n v="499.98"/>
    <n v="5"/>
    <d v="2026-09-25T00:00:00"/>
    <d v="1899-12-30T00:00:00"/>
    <x v="21"/>
  </r>
  <r>
    <s v="TRX0082"/>
    <x v="106"/>
    <s v="CUST005"/>
    <s v="James Johnson"/>
    <s v="P005"/>
    <x v="1"/>
    <s v="Appliances"/>
    <n v="3"/>
    <n v="59.99"/>
    <s v="Cash"/>
    <x v="0"/>
    <s v="Premium"/>
    <d v="2023-05-06T00:00:00"/>
    <n v="179.97"/>
    <n v="3"/>
    <d v="2026-09-25T00:00:00"/>
    <d v="1899-12-30T00:00:00"/>
    <x v="19"/>
  </r>
  <r>
    <s v="TRX0036"/>
    <x v="106"/>
    <s v="CUST008"/>
    <s v="Jennifer Taylor"/>
    <s v="P004"/>
    <x v="7"/>
    <s v="Appliances"/>
    <n v="4"/>
    <n v="79.989999999999995"/>
    <s v="Debit Card"/>
    <x v="4"/>
    <s v="Standard"/>
    <d v="2022-12-26T00:00:00"/>
    <n v="319.95999999999998"/>
    <n v="3"/>
    <d v="2026-09-25T00:00:00"/>
    <d v="1899-12-30T00:00:00"/>
    <x v="11"/>
  </r>
  <r>
    <s v="TRX0198"/>
    <x v="107"/>
    <s v="CUST030"/>
    <s v="Helen Roberts"/>
    <s v="P004"/>
    <x v="7"/>
    <s v="Appliances"/>
    <n v="3"/>
    <n v="79.989999999999995"/>
    <s v="Debit Card"/>
    <x v="4"/>
    <s v="Standard"/>
    <d v="2022-08-06T00:00:00"/>
    <n v="239.96999999999997"/>
    <n v="4"/>
    <d v="2026-09-25T00:00:00"/>
    <d v="1899-12-30T00:00:00"/>
    <x v="13"/>
  </r>
  <r>
    <s v="TRX0032"/>
    <x v="108"/>
    <s v="CUST041"/>
    <s v="Peter Richardson"/>
    <s v="P001"/>
    <x v="4"/>
    <s v="Electronics"/>
    <n v="2"/>
    <n v="899.99"/>
    <s v="Cash"/>
    <x v="2"/>
    <s v="Basic"/>
    <d v="2021-07-29T00:00:00"/>
    <n v="1799.98"/>
    <n v="5"/>
    <d v="2026-09-25T00:00:00"/>
    <d v="1899-12-30T00:00:00"/>
    <x v="21"/>
  </r>
  <r>
    <s v="TRX0081"/>
    <x v="109"/>
    <s v="CUST007"/>
    <s v="David Martinez"/>
    <s v="P008"/>
    <x v="2"/>
    <s v="Furniture"/>
    <n v="1"/>
    <n v="149.99"/>
    <s v="Debit Card"/>
    <x v="4"/>
    <s v="Standard"/>
    <d v="2023-10-01T00:00:00"/>
    <n v="149.99"/>
    <n v="2"/>
    <d v="2026-09-25T00:00:00"/>
    <d v="1899-12-30T00:00:00"/>
    <x v="7"/>
  </r>
  <r>
    <s v="TRX0224"/>
    <x v="109"/>
    <s v="CUST031"/>
    <s v="Steven Turner"/>
    <s v="P007"/>
    <x v="6"/>
    <s v="Furniture"/>
    <n v="2"/>
    <n v="299.99"/>
    <s v="Cash"/>
    <x v="4"/>
    <s v="Premium"/>
    <d v="2022-06-12T00:00:00"/>
    <n v="599.98"/>
    <n v="4"/>
    <d v="2026-09-25T00:00:00"/>
    <d v="1899-12-30T00:00:00"/>
    <x v="16"/>
  </r>
  <r>
    <s v="TRX0028"/>
    <x v="110"/>
    <s v="CUST002"/>
    <s v="Emma Wilson"/>
    <s v="P005"/>
    <x v="1"/>
    <s v="Appliances"/>
    <n v="2"/>
    <n v="59.99"/>
    <s v="Cash"/>
    <x v="3"/>
    <s v="Basic"/>
    <d v="2023-09-22T00:00:00"/>
    <n v="119.98"/>
    <n v="3"/>
    <d v="2026-09-25T00:00:00"/>
    <d v="1899-12-30T00:00:00"/>
    <x v="27"/>
  </r>
  <r>
    <s v="TRX0183"/>
    <x v="111"/>
    <s v="CUST007"/>
    <s v="David Martinez"/>
    <s v="P010"/>
    <x v="8"/>
    <s v="Electronics"/>
    <n v="1"/>
    <n v="89.99"/>
    <s v="Debit Card"/>
    <x v="0"/>
    <s v="Standard"/>
    <d v="2022-07-18T00:00:00"/>
    <n v="89.99"/>
    <n v="4"/>
    <d v="2026-09-25T00:00:00"/>
    <d v="1899-12-30T00:00:00"/>
    <x v="5"/>
  </r>
  <r>
    <s v="TRX0163"/>
    <x v="111"/>
    <s v="CUST019"/>
    <s v="Daniel King"/>
    <s v="P001"/>
    <x v="4"/>
    <s v="Electronics"/>
    <n v="5"/>
    <n v="899.99"/>
    <s v="Debit Card"/>
    <x v="4"/>
    <s v="Standard"/>
    <d v="2022-03-05T00:00:00"/>
    <n v="4499.95"/>
    <n v="4"/>
    <d v="2026-09-25T00:00:00"/>
    <d v="1899-12-30T00:00:00"/>
    <x v="24"/>
  </r>
  <r>
    <s v="TRX0046"/>
    <x v="112"/>
    <s v="CUST003"/>
    <s v="Michael Brown"/>
    <s v="P008"/>
    <x v="2"/>
    <s v="Furniture"/>
    <n v="2"/>
    <n v="149.99"/>
    <s v="Cash"/>
    <x v="1"/>
    <s v="Basic"/>
    <d v="2023-11-09T00:00:00"/>
    <n v="299.98"/>
    <n v="2"/>
    <d v="2026-09-25T00:00:00"/>
    <d v="1899-12-30T00:00:00"/>
    <x v="28"/>
  </r>
  <r>
    <s v="TRX0164"/>
    <x v="113"/>
    <s v="CUST014"/>
    <s v="Linda Martin"/>
    <s v="P003"/>
    <x v="3"/>
    <s v="Electronics"/>
    <n v="2"/>
    <n v="149.99"/>
    <s v="Debit Card"/>
    <x v="3"/>
    <s v="Premium"/>
    <d v="2023-12-20T00:00:00"/>
    <n v="299.98"/>
    <n v="2"/>
    <d v="2026-09-25T00:00:00"/>
    <d v="1899-12-30T00:00:00"/>
    <x v="2"/>
  </r>
  <r>
    <s v="TRX0008"/>
    <x v="113"/>
    <s v="CUST007"/>
    <s v="David Martinez"/>
    <s v="P008"/>
    <x v="2"/>
    <s v="Furniture"/>
    <n v="3"/>
    <n v="149.99"/>
    <s v="Debit Card"/>
    <x v="2"/>
    <s v="Standard"/>
    <d v="2021-11-22T00:00:00"/>
    <n v="449.97"/>
    <n v="4"/>
    <d v="2026-09-25T00:00:00"/>
    <d v="1899-12-30T00:00:00"/>
    <x v="17"/>
  </r>
  <r>
    <s v="TRX0171"/>
    <x v="114"/>
    <s v="CUST021"/>
    <s v="Kevin Scott"/>
    <s v="P007"/>
    <x v="6"/>
    <s v="Furniture"/>
    <n v="2"/>
    <n v="299.99"/>
    <s v="PayPal"/>
    <x v="1"/>
    <s v="Basic"/>
    <d v="2022-06-09T00:00:00"/>
    <n v="599.98"/>
    <n v="4"/>
    <d v="2026-09-25T00:00:00"/>
    <d v="1899-12-30T00:00:00"/>
    <x v="16"/>
  </r>
  <r>
    <s v="TRX0143"/>
    <x v="115"/>
    <s v="CUST003"/>
    <s v="Michael Brown"/>
    <s v="P007"/>
    <x v="6"/>
    <s v="Furniture"/>
    <n v="2"/>
    <n v="299.99"/>
    <s v="Cash"/>
    <x v="3"/>
    <s v="Basic"/>
    <d v="2022-07-29T00:00:00"/>
    <n v="599.98"/>
    <n v="4"/>
    <d v="2026-09-25T00:00:00"/>
    <d v="1899-12-30T00:00:00"/>
    <x v="5"/>
  </r>
  <r>
    <s v="TRX0165"/>
    <x v="115"/>
    <s v="CUST030"/>
    <s v="Helen Roberts"/>
    <s v="P006"/>
    <x v="9"/>
    <s v="Furniture"/>
    <n v="4"/>
    <n v="199.99"/>
    <s v="Credit Card"/>
    <x v="0"/>
    <s v="Basic"/>
    <d v="2021-11-23T00:00:00"/>
    <n v="799.96"/>
    <n v="4"/>
    <d v="2026-09-25T00:00:00"/>
    <d v="1899-12-30T00:00:00"/>
    <x v="17"/>
  </r>
  <r>
    <s v="TRX0156"/>
    <x v="116"/>
    <s v="CUST009"/>
    <s v="Robert Thomas"/>
    <s v="P010"/>
    <x v="8"/>
    <s v="Electronics"/>
    <n v="1"/>
    <n v="89.99"/>
    <s v="Credit Card"/>
    <x v="1"/>
    <s v="Premium"/>
    <d v="2022-01-30T00:00:00"/>
    <n v="89.99"/>
    <n v="4"/>
    <d v="2026-09-25T00:00:00"/>
    <d v="1899-12-30T00:00:00"/>
    <x v="1"/>
  </r>
  <r>
    <s v="TRX0147"/>
    <x v="116"/>
    <s v="CUST036"/>
    <s v="Nancy Collins"/>
    <s v="P008"/>
    <x v="2"/>
    <s v="Furniture"/>
    <n v="5"/>
    <n v="149.99"/>
    <s v="Cash"/>
    <x v="0"/>
    <s v="Premium"/>
    <d v="2024-02-25T00:00:00"/>
    <n v="749.95"/>
    <n v="2"/>
    <d v="2026-09-25T00:00:00"/>
    <d v="1899-12-30T00:00:00"/>
    <x v="10"/>
  </r>
  <r>
    <s v="TRX0207"/>
    <x v="117"/>
    <s v="CUST025"/>
    <s v="Mark Carter"/>
    <s v="P001"/>
    <x v="4"/>
    <s v="Electronics"/>
    <n v="1"/>
    <n v="899.99"/>
    <s v="PayPal"/>
    <x v="2"/>
    <s v="Premium"/>
    <d v="2023-05-04T00:00:00"/>
    <n v="899.99"/>
    <n v="3"/>
    <d v="2026-09-25T00:00:00"/>
    <d v="1899-12-30T00:00:00"/>
    <x v="19"/>
  </r>
  <r>
    <s v="TRX0056"/>
    <x v="118"/>
    <s v="CUST019"/>
    <s v="Daniel King"/>
    <s v="P010"/>
    <x v="8"/>
    <s v="Electronics"/>
    <n v="2"/>
    <n v="89.99"/>
    <s v="Credit Card"/>
    <x v="1"/>
    <s v="Premium"/>
    <d v="2022-01-03T00:00:00"/>
    <n v="179.98"/>
    <n v="4"/>
    <d v="2026-09-25T00:00:00"/>
    <d v="1899-12-30T00:00:00"/>
    <x v="1"/>
  </r>
  <r>
    <s v="TRX0026"/>
    <x v="119"/>
    <s v="CUST037"/>
    <s v="Arthur Edwards"/>
    <s v="P001"/>
    <x v="4"/>
    <s v="Electronics"/>
    <n v="1"/>
    <n v="899.99"/>
    <s v="PayPal"/>
    <x v="2"/>
    <s v="Standard"/>
    <d v="2022-07-10T00:00:00"/>
    <n v="899.99"/>
    <n v="4"/>
    <d v="2026-09-25T00:00:00"/>
    <d v="1899-12-30T00:00:00"/>
    <x v="5"/>
  </r>
  <r>
    <s v="TRX0237"/>
    <x v="120"/>
    <s v="CUST006"/>
    <s v="Lisa Anderson"/>
    <s v="P003"/>
    <x v="3"/>
    <s v="Electronics"/>
    <n v="5"/>
    <n v="149.99"/>
    <s v="PayPal"/>
    <x v="4"/>
    <s v="Premium"/>
    <d v="2022-09-20T00:00:00"/>
    <n v="749.95"/>
    <n v="4"/>
    <d v="2026-09-25T00:00:00"/>
    <d v="1899-12-30T00:00:00"/>
    <x v="9"/>
  </r>
  <r>
    <s v="TRX0091"/>
    <x v="120"/>
    <s v="CUST003"/>
    <s v="Michael Brown"/>
    <s v="P007"/>
    <x v="6"/>
    <s v="Furniture"/>
    <n v="3"/>
    <n v="299.99"/>
    <s v="Cash"/>
    <x v="1"/>
    <s v="Standard"/>
    <d v="2021-08-14T00:00:00"/>
    <n v="899.97"/>
    <n v="5"/>
    <d v="2026-09-25T00:00:00"/>
    <d v="1899-12-30T00:00:00"/>
    <x v="0"/>
  </r>
  <r>
    <s v="TRX0125"/>
    <x v="121"/>
    <s v="CUST026"/>
    <s v="Karen Hill"/>
    <s v="P002"/>
    <x v="5"/>
    <s v="Electronics"/>
    <n v="3"/>
    <n v="699.99"/>
    <s v="Credit Card"/>
    <x v="0"/>
    <s v="Premium"/>
    <d v="2023-06-28T00:00:00"/>
    <n v="2099.9700000000003"/>
    <n v="3"/>
    <d v="2026-09-25T00:00:00"/>
    <d v="1899-12-30T00:00:00"/>
    <x v="8"/>
  </r>
  <r>
    <s v="TRX0223"/>
    <x v="122"/>
    <s v="CUST036"/>
    <s v="Nancy Collins"/>
    <s v="P006"/>
    <x v="9"/>
    <s v="Furniture"/>
    <n v="5"/>
    <n v="199.99"/>
    <s v="PayPal"/>
    <x v="0"/>
    <s v="Standard"/>
    <d v="2022-03-13T00:00:00"/>
    <n v="999.95"/>
    <n v="4"/>
    <d v="2026-09-25T00:00:00"/>
    <d v="1899-12-30T00:00:00"/>
    <x v="24"/>
  </r>
  <r>
    <s v="TRX0243"/>
    <x v="122"/>
    <s v="CUST048"/>
    <s v="Virginia Sanders"/>
    <s v="P009"/>
    <x v="0"/>
    <s v="Electronics"/>
    <n v="5"/>
    <n v="249.99"/>
    <s v="Credit Card"/>
    <x v="1"/>
    <s v="Basic"/>
    <d v="2024-02-08T00:00:00"/>
    <n v="1249.95"/>
    <n v="2"/>
    <d v="2026-09-25T00:00:00"/>
    <d v="1899-12-30T00:00:00"/>
    <x v="10"/>
  </r>
  <r>
    <s v="TRX0084"/>
    <x v="123"/>
    <s v="CUST031"/>
    <s v="Steven Turner"/>
    <s v="P003"/>
    <x v="3"/>
    <s v="Electronics"/>
    <n v="4"/>
    <n v="149.99"/>
    <s v="Debit Card"/>
    <x v="4"/>
    <s v="Standard"/>
    <d v="2021-12-06T00:00:00"/>
    <n v="599.96"/>
    <n v="4"/>
    <d v="2026-09-25T00:00:00"/>
    <d v="1899-12-30T00:00:00"/>
    <x v="31"/>
  </r>
  <r>
    <s v="TRX0238"/>
    <x v="123"/>
    <s v="CUST038"/>
    <s v="Michelle Rogers"/>
    <s v="P002"/>
    <x v="5"/>
    <s v="Electronics"/>
    <n v="3"/>
    <n v="699.99"/>
    <s v="Cash"/>
    <x v="2"/>
    <s v="Premium"/>
    <d v="2022-02-10T00:00:00"/>
    <n v="2099.9700000000003"/>
    <n v="4"/>
    <d v="2026-09-25T00:00:00"/>
    <d v="1899-12-30T00:00:00"/>
    <x v="30"/>
  </r>
  <r>
    <s v="TRX0102"/>
    <x v="124"/>
    <s v="CUST045"/>
    <s v="Douglas Watson"/>
    <s v="P004"/>
    <x v="7"/>
    <s v="Appliances"/>
    <n v="1"/>
    <n v="79.989999999999995"/>
    <s v="Credit Card"/>
    <x v="1"/>
    <s v="Basic"/>
    <d v="2024-01-31T00:00:00"/>
    <n v="79.989999999999995"/>
    <n v="2"/>
    <d v="2026-09-25T00:00:00"/>
    <d v="1899-12-30T00:00:00"/>
    <x v="4"/>
  </r>
  <r>
    <s v="TRX0022"/>
    <x v="124"/>
    <s v="CUST025"/>
    <s v="Mark Carter"/>
    <s v="P007"/>
    <x v="6"/>
    <s v="Furniture"/>
    <n v="1"/>
    <n v="299.99"/>
    <s v="Credit Card"/>
    <x v="2"/>
    <s v="Basic"/>
    <d v="2021-08-28T00:00:00"/>
    <n v="299.99"/>
    <n v="5"/>
    <d v="2026-09-25T00:00:00"/>
    <d v="1899-12-30T00:00:00"/>
    <x v="0"/>
  </r>
  <r>
    <s v="TRX0087"/>
    <x v="125"/>
    <s v="CUST028"/>
    <s v="Betty Campbell"/>
    <s v="P009"/>
    <x v="0"/>
    <s v="Electronics"/>
    <n v="4"/>
    <n v="249.99"/>
    <s v="Credit Card"/>
    <x v="2"/>
    <s v="Premium"/>
    <d v="2021-09-21T00:00:00"/>
    <n v="999.96"/>
    <n v="5"/>
    <d v="2026-09-25T00:00:00"/>
    <d v="1899-12-30T00:00:00"/>
    <x v="15"/>
  </r>
  <r>
    <s v="TRX0107"/>
    <x v="125"/>
    <s v="CUST030"/>
    <s v="Helen Roberts"/>
    <s v="P003"/>
    <x v="3"/>
    <s v="Electronics"/>
    <n v="2"/>
    <n v="149.99"/>
    <s v="Cash"/>
    <x v="2"/>
    <s v="Standard"/>
    <d v="2022-12-18T00:00:00"/>
    <n v="299.98"/>
    <n v="3"/>
    <d v="2026-09-25T00:00:00"/>
    <d v="1899-12-30T00:00:00"/>
    <x v="11"/>
  </r>
  <r>
    <s v="TRX0051"/>
    <x v="125"/>
    <s v="CUST032"/>
    <s v="Sandra Phillips"/>
    <s v="P007"/>
    <x v="6"/>
    <s v="Furniture"/>
    <n v="3"/>
    <n v="299.99"/>
    <s v="Credit Card"/>
    <x v="1"/>
    <s v="Basic"/>
    <d v="2023-10-05T00:00:00"/>
    <n v="899.97"/>
    <n v="2"/>
    <d v="2026-09-25T00:00:00"/>
    <d v="1899-12-30T00:00:00"/>
    <x v="7"/>
  </r>
  <r>
    <s v="TRX0106"/>
    <x v="126"/>
    <s v="CUST039"/>
    <s v="Lawrence Reed"/>
    <s v="P006"/>
    <x v="9"/>
    <s v="Furniture"/>
    <n v="4"/>
    <n v="199.99"/>
    <s v="Debit Card"/>
    <x v="1"/>
    <s v="Standard"/>
    <d v="2021-12-14T00:00:00"/>
    <n v="799.96"/>
    <n v="4"/>
    <d v="2026-09-25T00:00:00"/>
    <d v="1899-12-30T00:00:00"/>
    <x v="31"/>
  </r>
  <r>
    <s v="TRX0059"/>
    <x v="126"/>
    <s v="CUST016"/>
    <s v="Elizabeth Hall"/>
    <s v="P007"/>
    <x v="6"/>
    <s v="Furniture"/>
    <n v="5"/>
    <n v="299.99"/>
    <s v="Debit Card"/>
    <x v="0"/>
    <s v="Basic"/>
    <d v="2021-08-23T00:00:00"/>
    <n v="1499.95"/>
    <n v="5"/>
    <d v="2026-09-25T00:00:00"/>
    <d v="1899-12-30T00:00:00"/>
    <x v="0"/>
  </r>
  <r>
    <s v="TRX0072"/>
    <x v="126"/>
    <s v="CUST009"/>
    <s v="Robert Thomas"/>
    <s v="P008"/>
    <x v="2"/>
    <s v="Furniture"/>
    <n v="3"/>
    <n v="149.99"/>
    <s v="Credit Card"/>
    <x v="4"/>
    <s v="Standard"/>
    <d v="2021-07-18T00:00:00"/>
    <n v="449.97"/>
    <n v="5"/>
    <d v="2026-09-25T00:00:00"/>
    <d v="1899-12-30T00:00:00"/>
    <x v="21"/>
  </r>
  <r>
    <s v="TRX0110"/>
    <x v="127"/>
    <s v="CUST006"/>
    <s v="Lisa Anderson"/>
    <s v="P005"/>
    <x v="1"/>
    <s v="Appliances"/>
    <n v="5"/>
    <n v="59.99"/>
    <s v="Debit Card"/>
    <x v="4"/>
    <s v="Basic"/>
    <d v="2022-03-22T00:00:00"/>
    <n v="299.95"/>
    <n v="4"/>
    <d v="2026-09-25T00:00:00"/>
    <d v="1899-12-30T00:00:00"/>
    <x v="24"/>
  </r>
  <r>
    <s v="TRX0126"/>
    <x v="128"/>
    <s v="CUST022"/>
    <s v="Susan Green"/>
    <s v="P005"/>
    <x v="1"/>
    <s v="Appliances"/>
    <n v="4"/>
    <n v="59.99"/>
    <s v="Debit Card"/>
    <x v="4"/>
    <s v="Standard"/>
    <d v="2022-01-03T00:00:00"/>
    <n v="239.96"/>
    <n v="4"/>
    <d v="2026-09-25T00:00:00"/>
    <d v="1899-12-30T00:00:00"/>
    <x v="1"/>
  </r>
  <r>
    <s v="TRX0159"/>
    <x v="129"/>
    <s v="CUST024"/>
    <s v="Dorothy Nelson"/>
    <s v="P009"/>
    <x v="0"/>
    <s v="Electronics"/>
    <n v="4"/>
    <n v="249.99"/>
    <s v="Debit Card"/>
    <x v="0"/>
    <s v="Premium"/>
    <d v="2023-10-18T00:00:00"/>
    <n v="999.96"/>
    <n v="2"/>
    <d v="2026-09-25T00:00:00"/>
    <d v="1899-12-30T00:00:00"/>
    <x v="7"/>
  </r>
  <r>
    <s v="TRX0030"/>
    <x v="130"/>
    <s v="CUST011"/>
    <s v="William White"/>
    <s v="P001"/>
    <x v="4"/>
    <s v="Electronics"/>
    <n v="4"/>
    <n v="899.99"/>
    <s v="PayPal"/>
    <x v="0"/>
    <s v="Basic"/>
    <d v="2022-06-22T00:00:00"/>
    <n v="3599.96"/>
    <n v="4"/>
    <d v="2026-09-25T00:00:00"/>
    <d v="1899-12-30T00:00:00"/>
    <x v="16"/>
  </r>
  <r>
    <s v="TRX0178"/>
    <x v="130"/>
    <s v="CUST025"/>
    <s v="Mark Carter"/>
    <s v="P007"/>
    <x v="6"/>
    <s v="Furniture"/>
    <n v="3"/>
    <n v="299.99"/>
    <s v="Debit Card"/>
    <x v="3"/>
    <s v="Standard"/>
    <d v="2023-01-26T00:00:00"/>
    <n v="899.97"/>
    <n v="3"/>
    <d v="2026-09-25T00:00:00"/>
    <d v="1899-12-30T00:00:00"/>
    <x v="33"/>
  </r>
  <r>
    <s v="TRX0188"/>
    <x v="130"/>
    <s v="CUST045"/>
    <s v="Douglas Watson"/>
    <s v="P002"/>
    <x v="5"/>
    <s v="Electronics"/>
    <n v="2"/>
    <n v="699.99"/>
    <s v="Debit Card"/>
    <x v="0"/>
    <s v="Premium"/>
    <d v="2022-04-30T00:00:00"/>
    <n v="1399.98"/>
    <n v="4"/>
    <d v="2026-09-25T00:00:00"/>
    <d v="1899-12-30T00:00:00"/>
    <x v="32"/>
  </r>
  <r>
    <s v="TRX0010"/>
    <x v="131"/>
    <s v="CUST026"/>
    <s v="Karen Hill"/>
    <s v="P002"/>
    <x v="5"/>
    <s v="Electronics"/>
    <n v="4"/>
    <n v="699.99"/>
    <s v="Debit Card"/>
    <x v="3"/>
    <s v="Premium"/>
    <d v="2022-05-11T00:00:00"/>
    <n v="2799.96"/>
    <n v="4"/>
    <d v="2026-09-25T00:00:00"/>
    <d v="1899-12-30T00:00:00"/>
    <x v="23"/>
  </r>
  <r>
    <s v="TRX0069"/>
    <x v="131"/>
    <s v="CUST029"/>
    <s v="Edward Mitchell"/>
    <s v="P010"/>
    <x v="8"/>
    <s v="Electronics"/>
    <n v="2"/>
    <n v="89.99"/>
    <s v="Debit Card"/>
    <x v="1"/>
    <s v="Basic"/>
    <d v="2022-08-04T00:00:00"/>
    <n v="179.98"/>
    <n v="4"/>
    <d v="2026-09-25T00:00:00"/>
    <d v="1899-12-30T00:00:00"/>
    <x v="13"/>
  </r>
  <r>
    <s v="TRX0166"/>
    <x v="131"/>
    <s v="CUST003"/>
    <s v="Michael Brown"/>
    <s v="P010"/>
    <x v="8"/>
    <s v="Electronics"/>
    <n v="3"/>
    <n v="89.99"/>
    <s v="Debit Card"/>
    <x v="1"/>
    <s v="Premium"/>
    <d v="2024-01-16T00:00:00"/>
    <n v="269.96999999999997"/>
    <n v="2"/>
    <d v="2026-09-25T00:00:00"/>
    <d v="1899-12-30T00:00:00"/>
    <x v="4"/>
  </r>
  <r>
    <s v="TRX0219"/>
    <x v="132"/>
    <s v="CUST037"/>
    <s v="Arthur Edwards"/>
    <s v="P005"/>
    <x v="1"/>
    <s v="Appliances"/>
    <n v="1"/>
    <n v="59.99"/>
    <s v="Debit Card"/>
    <x v="0"/>
    <s v="Standard"/>
    <d v="2023-04-29T00:00:00"/>
    <n v="59.99"/>
    <n v="3"/>
    <d v="2026-09-25T00:00:00"/>
    <d v="1899-12-30T00:00:00"/>
    <x v="20"/>
  </r>
  <r>
    <s v="TRX0024"/>
    <x v="133"/>
    <s v="CUST042"/>
    <s v="Ruth Brooks"/>
    <s v="P008"/>
    <x v="2"/>
    <s v="Furniture"/>
    <n v="3"/>
    <n v="149.99"/>
    <s v="Debit Card"/>
    <x v="2"/>
    <s v="Premium"/>
    <d v="2022-01-03T00:00:00"/>
    <n v="449.97"/>
    <n v="4"/>
    <d v="2026-09-25T00:00:00"/>
    <d v="1899-12-30T00:00:00"/>
    <x v="1"/>
  </r>
  <r>
    <s v="TRX0105"/>
    <x v="133"/>
    <s v="CUST048"/>
    <s v="Virginia Sanders"/>
    <s v="P007"/>
    <x v="6"/>
    <s v="Furniture"/>
    <n v="5"/>
    <n v="299.99"/>
    <s v="Credit Card"/>
    <x v="1"/>
    <s v="Basic"/>
    <d v="2023-02-02T00:00:00"/>
    <n v="1499.95"/>
    <n v="3"/>
    <d v="2026-09-25T00:00:00"/>
    <d v="1899-12-30T00:00:00"/>
    <x v="26"/>
  </r>
  <r>
    <s v="TRX0011"/>
    <x v="134"/>
    <s v="CUST040"/>
    <s v="Sharon Butler"/>
    <s v="P005"/>
    <x v="1"/>
    <s v="Appliances"/>
    <n v="5"/>
    <n v="59.99"/>
    <s v="Debit Card"/>
    <x v="0"/>
    <s v="Standard"/>
    <d v="2023-09-08T00:00:00"/>
    <n v="299.95"/>
    <n v="3"/>
    <d v="2026-09-25T00:00:00"/>
    <d v="1899-12-30T00:00:00"/>
    <x v="27"/>
  </r>
  <r>
    <s v="TRX0187"/>
    <x v="135"/>
    <s v="CUST036"/>
    <s v="Nancy Collins"/>
    <s v="P004"/>
    <x v="7"/>
    <s v="Appliances"/>
    <n v="3"/>
    <n v="79.989999999999995"/>
    <s v="Cash"/>
    <x v="4"/>
    <s v="Premium"/>
    <d v="2021-08-28T00:00:00"/>
    <n v="239.96999999999997"/>
    <n v="5"/>
    <d v="2026-09-25T00:00:00"/>
    <d v="1899-12-30T00:00:00"/>
    <x v="0"/>
  </r>
  <r>
    <s v="TRX0089"/>
    <x v="136"/>
    <s v="CUST021"/>
    <s v="Kevin Scott"/>
    <s v="P006"/>
    <x v="9"/>
    <s v="Furniture"/>
    <n v="3"/>
    <n v="199.99"/>
    <s v="Cash"/>
    <x v="0"/>
    <s v="Basic"/>
    <d v="2022-06-23T00:00:00"/>
    <n v="599.97"/>
    <n v="4"/>
    <d v="2026-09-25T00:00:00"/>
    <d v="1899-12-30T00:00:00"/>
    <x v="16"/>
  </r>
  <r>
    <s v="TRX0196"/>
    <x v="136"/>
    <s v="CUST023"/>
    <s v="Paul Baker"/>
    <s v="P010"/>
    <x v="8"/>
    <s v="Electronics"/>
    <n v="2"/>
    <n v="89.99"/>
    <s v="PayPal"/>
    <x v="0"/>
    <s v="Basic"/>
    <d v="2023-11-27T00:00:00"/>
    <n v="179.98"/>
    <n v="2"/>
    <d v="2026-09-25T00:00:00"/>
    <d v="1899-12-30T00:00:00"/>
    <x v="28"/>
  </r>
  <r>
    <s v="TRX0118"/>
    <x v="137"/>
    <s v="CUST015"/>
    <s v="Richard Lee"/>
    <s v="P008"/>
    <x v="2"/>
    <s v="Furniture"/>
    <n v="2"/>
    <n v="149.99"/>
    <s v="Cash"/>
    <x v="1"/>
    <s v="Premium"/>
    <d v="2022-06-16T00:00:00"/>
    <n v="299.98"/>
    <n v="4"/>
    <d v="2026-09-25T00:00:00"/>
    <d v="1899-12-30T00:00:00"/>
    <x v="16"/>
  </r>
  <r>
    <s v="TRX0179"/>
    <x v="138"/>
    <s v="CUST029"/>
    <s v="Edward Mitchell"/>
    <s v="P002"/>
    <x v="5"/>
    <s v="Electronics"/>
    <n v="5"/>
    <n v="699.99"/>
    <s v="PayPal"/>
    <x v="1"/>
    <s v="Premium"/>
    <d v="2024-03-01T00:00:00"/>
    <n v="3499.95"/>
    <n v="2"/>
    <d v="2026-09-25T00:00:00"/>
    <d v="1899-12-30T00:00:00"/>
    <x v="12"/>
  </r>
  <r>
    <s v="TRX0168"/>
    <x v="138"/>
    <s v="CUST003"/>
    <s v="Michael Brown"/>
    <s v="P008"/>
    <x v="2"/>
    <s v="Furniture"/>
    <n v="3"/>
    <n v="149.99"/>
    <s v="PayPal"/>
    <x v="0"/>
    <s v="Standard"/>
    <d v="2022-03-13T00:00:00"/>
    <n v="449.97"/>
    <n v="4"/>
    <d v="2026-09-25T00:00:00"/>
    <d v="1899-12-30T00:00:00"/>
    <x v="24"/>
  </r>
  <r>
    <s v="TRX0214"/>
    <x v="139"/>
    <s v="CUST018"/>
    <s v="Barbara Young"/>
    <s v="P001"/>
    <x v="4"/>
    <s v="Electronics"/>
    <n v="3"/>
    <n v="899.99"/>
    <s v="Cash"/>
    <x v="4"/>
    <s v="Standard"/>
    <d v="2022-02-21T00:00:00"/>
    <n v="2699.9700000000003"/>
    <n v="4"/>
    <d v="2026-09-25T00:00:00"/>
    <d v="1899-12-30T00:00:00"/>
    <x v="30"/>
  </r>
  <r>
    <s v="TRX0221"/>
    <x v="139"/>
    <s v="CUST033"/>
    <s v="Frank Torres"/>
    <s v="P006"/>
    <x v="9"/>
    <s v="Furniture"/>
    <n v="3"/>
    <n v="199.99"/>
    <s v="Cash"/>
    <x v="3"/>
    <s v="Premium"/>
    <d v="2022-09-19T00:00:00"/>
    <n v="599.97"/>
    <n v="4"/>
    <d v="2026-09-25T00:00:00"/>
    <d v="1899-12-30T00:00:00"/>
    <x v="9"/>
  </r>
  <r>
    <s v="TRX0083"/>
    <x v="140"/>
    <s v="CUST017"/>
    <s v="Charles Allen"/>
    <s v="P007"/>
    <x v="6"/>
    <s v="Furniture"/>
    <n v="5"/>
    <n v="299.99"/>
    <s v="Cash"/>
    <x v="3"/>
    <s v="Standard"/>
    <d v="2023-08-04T00:00:00"/>
    <n v="1499.95"/>
    <n v="3"/>
    <d v="2026-09-25T00:00:00"/>
    <d v="1899-12-30T00:00:00"/>
    <x v="14"/>
  </r>
  <r>
    <s v="TRX0151"/>
    <x v="140"/>
    <s v="CUST040"/>
    <s v="Sharon Butler"/>
    <s v="P002"/>
    <x v="5"/>
    <s v="Electronics"/>
    <n v="1"/>
    <n v="699.99"/>
    <s v="PayPal"/>
    <x v="3"/>
    <s v="Basic"/>
    <d v="2023-01-08T00:00:00"/>
    <n v="699.99"/>
    <n v="3"/>
    <d v="2026-09-25T00:00:00"/>
    <d v="1899-12-30T00:00:00"/>
    <x v="33"/>
  </r>
  <r>
    <s v="TRX0047"/>
    <x v="141"/>
    <s v="CUST042"/>
    <s v="Ruth Brooks"/>
    <s v="P002"/>
    <x v="5"/>
    <s v="Electronics"/>
    <n v="1"/>
    <n v="699.99"/>
    <s v="Cash"/>
    <x v="2"/>
    <s v="Premium"/>
    <d v="2022-01-22T00:00:00"/>
    <n v="699.99"/>
    <n v="4"/>
    <d v="2026-09-25T00:00:00"/>
    <d v="1899-12-30T00:00:00"/>
    <x v="1"/>
  </r>
  <r>
    <s v="TRX0200"/>
    <x v="141"/>
    <s v="CUST037"/>
    <s v="Arthur Edwards"/>
    <s v="P008"/>
    <x v="2"/>
    <s v="Furniture"/>
    <n v="4"/>
    <n v="149.99"/>
    <s v="PayPal"/>
    <x v="2"/>
    <s v="Premium"/>
    <d v="2021-08-04T00:00:00"/>
    <n v="599.96"/>
    <n v="5"/>
    <d v="2026-09-25T00:00:00"/>
    <d v="1899-12-30T00:00:00"/>
    <x v="0"/>
  </r>
  <r>
    <s v="TRX0062"/>
    <x v="141"/>
    <s v="CUST016"/>
    <s v="Elizabeth Hall"/>
    <s v="P010"/>
    <x v="8"/>
    <s v="Electronics"/>
    <n v="5"/>
    <n v="89.99"/>
    <s v="PayPal"/>
    <x v="3"/>
    <s v="Premium"/>
    <d v="2023-08-02T00:00:00"/>
    <n v="449.95"/>
    <n v="3"/>
    <d v="2026-09-25T00:00:00"/>
    <d v="1899-12-30T00:00:00"/>
    <x v="14"/>
  </r>
  <r>
    <s v="TRX0182"/>
    <x v="142"/>
    <s v="CUST031"/>
    <s v="Steven Turner"/>
    <s v="P006"/>
    <x v="9"/>
    <s v="Furniture"/>
    <n v="2"/>
    <n v="199.99"/>
    <s v="Cash"/>
    <x v="0"/>
    <s v="Premium"/>
    <d v="2022-01-12T00:00:00"/>
    <n v="399.98"/>
    <n v="4"/>
    <d v="2026-09-25T00:00:00"/>
    <d v="1899-12-30T00:00:00"/>
    <x v="1"/>
  </r>
  <r>
    <s v="TRX0229"/>
    <x v="143"/>
    <s v="CUST015"/>
    <s v="Richard Lee"/>
    <s v="P005"/>
    <x v="1"/>
    <s v="Appliances"/>
    <n v="4"/>
    <n v="59.99"/>
    <s v="Cash"/>
    <x v="3"/>
    <s v="Standard"/>
    <d v="2023-05-24T00:00:00"/>
    <n v="239.96"/>
    <n v="3"/>
    <d v="2026-09-25T00:00:00"/>
    <d v="1899-12-30T00:00:00"/>
    <x v="19"/>
  </r>
  <r>
    <s v="TRX0048"/>
    <x v="143"/>
    <s v="CUST048"/>
    <s v="Virginia Sanders"/>
    <s v="P007"/>
    <x v="6"/>
    <s v="Furniture"/>
    <n v="2"/>
    <n v="299.99"/>
    <s v="PayPal"/>
    <x v="1"/>
    <s v="Basic"/>
    <d v="2022-01-15T00:00:00"/>
    <n v="599.98"/>
    <n v="4"/>
    <d v="2026-09-25T00:00:00"/>
    <d v="1899-12-30T00:00:00"/>
    <x v="1"/>
  </r>
  <r>
    <s v="TRX0227"/>
    <x v="144"/>
    <s v="CUST017"/>
    <s v="Charles Allen"/>
    <s v="P008"/>
    <x v="2"/>
    <s v="Furniture"/>
    <n v="2"/>
    <n v="149.99"/>
    <s v="Cash"/>
    <x v="0"/>
    <s v="Basic"/>
    <d v="2023-05-22T00:00:00"/>
    <n v="299.98"/>
    <n v="3"/>
    <d v="2026-09-25T00:00:00"/>
    <d v="1899-12-30T00:00:00"/>
    <x v="19"/>
  </r>
  <r>
    <s v="TRX0226"/>
    <x v="145"/>
    <s v="CUST039"/>
    <s v="Lawrence Reed"/>
    <s v="P002"/>
    <x v="5"/>
    <s v="Electronics"/>
    <n v="5"/>
    <n v="699.99"/>
    <s v="Debit Card"/>
    <x v="4"/>
    <s v="Premium"/>
    <d v="2023-08-23T00:00:00"/>
    <n v="3499.95"/>
    <n v="3"/>
    <d v="2026-09-25T00:00:00"/>
    <d v="1899-12-30T00:00:00"/>
    <x v="14"/>
  </r>
  <r>
    <s v="TRX0053"/>
    <x v="146"/>
    <s v="CUST043"/>
    <s v="Dennis Gray"/>
    <s v="P005"/>
    <x v="1"/>
    <s v="Appliances"/>
    <n v="5"/>
    <n v="59.99"/>
    <s v="Cash"/>
    <x v="3"/>
    <s v="Premium"/>
    <d v="2023-12-31T00:00:00"/>
    <n v="299.95"/>
    <n v="2"/>
    <d v="2026-09-25T00:00:00"/>
    <d v="1899-12-30T00:00:00"/>
    <x v="2"/>
  </r>
  <r>
    <s v="TRX0233"/>
    <x v="147"/>
    <s v="CUST023"/>
    <s v="Paul Baker"/>
    <s v="P010"/>
    <x v="8"/>
    <s v="Electronics"/>
    <n v="2"/>
    <n v="89.99"/>
    <s v="Credit Card"/>
    <x v="3"/>
    <s v="Premium"/>
    <d v="2024-01-04T00:00:00"/>
    <n v="179.98"/>
    <n v="2"/>
    <d v="2026-09-25T00:00:00"/>
    <d v="1899-12-30T00:00:00"/>
    <x v="4"/>
  </r>
  <r>
    <s v="TRX0175"/>
    <x v="147"/>
    <s v="CUST030"/>
    <s v="Helen Roberts"/>
    <s v="P009"/>
    <x v="0"/>
    <s v="Electronics"/>
    <n v="5"/>
    <n v="249.99"/>
    <s v="Cash"/>
    <x v="4"/>
    <s v="Standard"/>
    <d v="2021-12-10T00:00:00"/>
    <n v="1249.95"/>
    <n v="4"/>
    <d v="2026-09-25T00:00:00"/>
    <d v="1899-12-30T00:00:00"/>
    <x v="31"/>
  </r>
  <r>
    <s v="TRX0186"/>
    <x v="148"/>
    <s v="CUST039"/>
    <s v="Lawrence Reed"/>
    <s v="P008"/>
    <x v="2"/>
    <s v="Furniture"/>
    <n v="2"/>
    <n v="149.99"/>
    <s v="PayPal"/>
    <x v="0"/>
    <s v="Premium"/>
    <d v="2022-03-12T00:00:00"/>
    <n v="299.98"/>
    <n v="4"/>
    <d v="2026-09-25T00:00:00"/>
    <d v="1899-12-30T00:00:00"/>
    <x v="24"/>
  </r>
  <r>
    <s v="TRX0016"/>
    <x v="148"/>
    <s v="CUST035"/>
    <s v="Harry Morgan"/>
    <s v="P001"/>
    <x v="4"/>
    <s v="Electronics"/>
    <n v="5"/>
    <n v="899.99"/>
    <s v="PayPal"/>
    <x v="4"/>
    <s v="Premium"/>
    <d v="2024-04-07T00:00:00"/>
    <n v="4499.95"/>
    <n v="2"/>
    <d v="2026-09-25T00:00:00"/>
    <d v="1899-12-30T00:00:00"/>
    <x v="22"/>
  </r>
  <r>
    <s v="TRX0199"/>
    <x v="148"/>
    <s v="CUST017"/>
    <s v="Charles Allen"/>
    <s v="P008"/>
    <x v="2"/>
    <s v="Furniture"/>
    <n v="4"/>
    <n v="149.99"/>
    <s v="Cash"/>
    <x v="0"/>
    <s v="Standard"/>
    <d v="2023-12-03T00:00:00"/>
    <n v="599.96"/>
    <n v="2"/>
    <d v="2026-09-25T00:00:00"/>
    <d v="1899-12-30T00:00:00"/>
    <x v="2"/>
  </r>
  <r>
    <s v="TRX0038"/>
    <x v="149"/>
    <s v="CUST035"/>
    <s v="Harry Morgan"/>
    <s v="P009"/>
    <x v="0"/>
    <s v="Electronics"/>
    <n v="1"/>
    <n v="249.99"/>
    <s v="Cash"/>
    <x v="2"/>
    <s v="Standard"/>
    <d v="2023-07-10T00:00:00"/>
    <n v="249.99"/>
    <n v="3"/>
    <d v="2026-09-25T00:00:00"/>
    <d v="1899-12-30T00:00:00"/>
    <x v="3"/>
  </r>
  <r>
    <s v="TRX0014"/>
    <x v="150"/>
    <s v="CUST033"/>
    <s v="Frank Torres"/>
    <s v="P005"/>
    <x v="1"/>
    <s v="Appliances"/>
    <n v="2"/>
    <n v="59.99"/>
    <s v="Credit Card"/>
    <x v="3"/>
    <s v="Basic"/>
    <d v="2023-09-24T00:00:00"/>
    <n v="119.98"/>
    <n v="3"/>
    <d v="2026-09-25T00:00:00"/>
    <d v="1899-12-30T00:00:00"/>
    <x v="27"/>
  </r>
  <r>
    <s v="TRX0003"/>
    <x v="151"/>
    <s v="CUST002"/>
    <s v="Emma Wilson"/>
    <s v="P008"/>
    <x v="2"/>
    <s v="Furniture"/>
    <n v="2"/>
    <n v="149.99"/>
    <s v="Cash"/>
    <x v="3"/>
    <s v="Premium"/>
    <d v="2023-11-03T00:00:00"/>
    <n v="299.98"/>
    <n v="2"/>
    <d v="2026-09-25T00:00:00"/>
    <d v="1899-12-30T00:00:00"/>
    <x v="28"/>
  </r>
  <r>
    <s v="TRX0124"/>
    <x v="151"/>
    <s v="CUST040"/>
    <s v="Sharon Butler"/>
    <s v="P001"/>
    <x v="4"/>
    <s v="Electronics"/>
    <n v="3"/>
    <n v="899.99"/>
    <s v="Debit Card"/>
    <x v="2"/>
    <s v="Premium"/>
    <d v="2022-11-11T00:00:00"/>
    <n v="2699.9700000000003"/>
    <n v="3"/>
    <d v="2026-09-25T00:00:00"/>
    <d v="1899-12-30T00:00:00"/>
    <x v="18"/>
  </r>
  <r>
    <s v="TRX0013"/>
    <x v="151"/>
    <s v="CUST024"/>
    <s v="Dorothy Nelson"/>
    <s v="P001"/>
    <x v="4"/>
    <s v="Electronics"/>
    <n v="3"/>
    <n v="899.99"/>
    <s v="PayPal"/>
    <x v="2"/>
    <s v="Basic"/>
    <d v="2023-02-18T00:00:00"/>
    <n v="2699.9700000000003"/>
    <n v="3"/>
    <d v="2026-09-25T00:00:00"/>
    <d v="1899-12-30T00:00:00"/>
    <x v="26"/>
  </r>
  <r>
    <s v="TRX0019"/>
    <x v="152"/>
    <s v="CUST023"/>
    <s v="Paul Baker"/>
    <s v="P007"/>
    <x v="6"/>
    <s v="Furniture"/>
    <n v="3"/>
    <n v="299.99"/>
    <s v="Credit Card"/>
    <x v="3"/>
    <s v="Premium"/>
    <d v="2023-11-04T00:00:00"/>
    <n v="899.97"/>
    <n v="2"/>
    <d v="2026-09-25T00:00:00"/>
    <d v="1899-12-30T00:00:00"/>
    <x v="28"/>
  </r>
  <r>
    <s v="TRX0050"/>
    <x v="153"/>
    <s v="CUST001"/>
    <s v="John Smith"/>
    <s v="P008"/>
    <x v="2"/>
    <s v="Furniture"/>
    <n v="4"/>
    <n v="149.99"/>
    <s v="PayPal"/>
    <x v="3"/>
    <s v="Standard"/>
    <d v="2021-12-30T00:00:00"/>
    <n v="599.96"/>
    <n v="4"/>
    <d v="2026-09-25T00:00:00"/>
    <d v="1899-12-30T00:00:00"/>
    <x v="31"/>
  </r>
  <r>
    <s v="TRX0152"/>
    <x v="154"/>
    <s v="CUST044"/>
    <s v="Cynthia Price"/>
    <s v="P004"/>
    <x v="7"/>
    <s v="Appliances"/>
    <n v="4"/>
    <n v="79.989999999999995"/>
    <s v="Credit Card"/>
    <x v="0"/>
    <s v="Basic"/>
    <d v="2023-12-28T00:00:00"/>
    <n v="319.95999999999998"/>
    <n v="2"/>
    <d v="2026-09-25T00:00:00"/>
    <d v="1899-12-30T00:00:00"/>
    <x v="2"/>
  </r>
  <r>
    <s v="TRX0213"/>
    <x v="155"/>
    <s v="CUST020"/>
    <s v="Margaret Wright"/>
    <s v="P010"/>
    <x v="8"/>
    <s v="Electronics"/>
    <n v="5"/>
    <n v="89.99"/>
    <s v="PayPal"/>
    <x v="1"/>
    <s v="Basic"/>
    <d v="2022-05-23T00:00:00"/>
    <n v="449.95"/>
    <n v="4"/>
    <d v="2026-09-25T00:00:00"/>
    <d v="1899-12-30T00:00:00"/>
    <x v="23"/>
  </r>
  <r>
    <s v="TRX0197"/>
    <x v="156"/>
    <s v="CUST048"/>
    <s v="Virginia Sanders"/>
    <s v="P008"/>
    <x v="2"/>
    <s v="Furniture"/>
    <n v="3"/>
    <n v="149.99"/>
    <s v="PayPal"/>
    <x v="0"/>
    <s v="Standard"/>
    <d v="2023-09-02T00:00:00"/>
    <n v="449.97"/>
    <n v="3"/>
    <d v="2026-09-25T00:00:00"/>
    <d v="1899-12-30T00:00:00"/>
    <x v="27"/>
  </r>
  <r>
    <s v="TRX0250"/>
    <x v="156"/>
    <s v="CUST026"/>
    <s v="Karen Hill"/>
    <s v="P010"/>
    <x v="8"/>
    <s v="Electronics"/>
    <n v="2"/>
    <n v="89.99"/>
    <s v="Debit Card"/>
    <x v="3"/>
    <s v="Premium"/>
    <d v="2021-11-22T00:00:00"/>
    <n v="179.98"/>
    <n v="4"/>
    <d v="2026-09-25T00:00:00"/>
    <d v="1899-12-30T00:00:00"/>
    <x v="17"/>
  </r>
  <r>
    <s v="TRX0068"/>
    <x v="157"/>
    <s v="CUST044"/>
    <s v="Cynthia Price"/>
    <s v="P002"/>
    <x v="5"/>
    <s v="Electronics"/>
    <n v="2"/>
    <n v="699.99"/>
    <s v="PayPal"/>
    <x v="2"/>
    <s v="Standard"/>
    <d v="2022-02-26T00:00:00"/>
    <n v="1399.98"/>
    <n v="4"/>
    <d v="2026-09-25T00:00:00"/>
    <d v="1899-12-30T00:00:00"/>
    <x v="30"/>
  </r>
  <r>
    <s v="TRX0144"/>
    <x v="158"/>
    <s v="CUST029"/>
    <s v="Edward Mitchell"/>
    <s v="P001"/>
    <x v="4"/>
    <s v="Electronics"/>
    <n v="3"/>
    <n v="899.99"/>
    <s v="Cash"/>
    <x v="0"/>
    <s v="Standard"/>
    <d v="2023-01-27T00:00:00"/>
    <n v="2699.9700000000003"/>
    <n v="3"/>
    <d v="2026-09-25T00:00:00"/>
    <d v="1899-12-30T00:00:00"/>
    <x v="33"/>
  </r>
  <r>
    <s v="TRX0039"/>
    <x v="159"/>
    <s v="CUST048"/>
    <s v="Virginia Sanders"/>
    <s v="P004"/>
    <x v="7"/>
    <s v="Appliances"/>
    <n v="3"/>
    <n v="79.989999999999995"/>
    <s v="Credit Card"/>
    <x v="2"/>
    <s v="Basic"/>
    <d v="2021-11-11T00:00:00"/>
    <n v="239.96999999999997"/>
    <n v="4"/>
    <d v="2026-09-25T00:00:00"/>
    <d v="1899-12-30T00:00:00"/>
    <x v="17"/>
  </r>
  <r>
    <s v="TRX0116"/>
    <x v="160"/>
    <s v="CUST009"/>
    <s v="Robert Thomas"/>
    <s v="P010"/>
    <x v="8"/>
    <s v="Electronics"/>
    <n v="1"/>
    <n v="89.99"/>
    <s v="Debit Card"/>
    <x v="4"/>
    <s v="Basic"/>
    <d v="2024-02-24T00:00:00"/>
    <n v="89.99"/>
    <n v="2"/>
    <d v="2026-09-25T00:00:00"/>
    <d v="1899-12-30T00:00:00"/>
    <x v="10"/>
  </r>
  <r>
    <s v="TRX0120"/>
    <x v="161"/>
    <s v="CUST045"/>
    <s v="Douglas Watson"/>
    <s v="P002"/>
    <x v="5"/>
    <s v="Electronics"/>
    <n v="3"/>
    <n v="699.99"/>
    <s v="PayPal"/>
    <x v="2"/>
    <s v="Basic"/>
    <d v="2022-12-14T00:00:00"/>
    <n v="2099.9700000000003"/>
    <n v="3"/>
    <d v="2026-09-25T00:00:00"/>
    <d v="1899-12-30T00:00:00"/>
    <x v="11"/>
  </r>
  <r>
    <s v="TRX0103"/>
    <x v="161"/>
    <s v="CUST039"/>
    <s v="Lawrence Reed"/>
    <s v="P010"/>
    <x v="8"/>
    <s v="Electronics"/>
    <n v="2"/>
    <n v="89.99"/>
    <s v="Debit Card"/>
    <x v="4"/>
    <s v="Basic"/>
    <d v="2023-06-11T00:00:00"/>
    <n v="179.98"/>
    <n v="3"/>
    <d v="2026-09-25T00:00:00"/>
    <d v="1899-12-30T00:00:00"/>
    <x v="8"/>
  </r>
  <r>
    <s v="TRX0064"/>
    <x v="161"/>
    <s v="CUST031"/>
    <s v="Steven Turner"/>
    <s v="P010"/>
    <x v="8"/>
    <s v="Electronics"/>
    <n v="3"/>
    <n v="89.99"/>
    <s v="Debit Card"/>
    <x v="2"/>
    <s v="Premium"/>
    <d v="2022-11-13T00:00:00"/>
    <n v="269.96999999999997"/>
    <n v="3"/>
    <d v="2026-09-25T00:00:00"/>
    <d v="1899-12-30T00:00:00"/>
    <x v="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333.33333333333331"/>
    <s v="Cash"/>
    <x v="0"/>
    <s v="Basic"/>
    <d v="2021-08-17T00:00:00"/>
    <n v="1000"/>
  </r>
  <r>
    <s v="TRX0023"/>
    <x v="1"/>
    <s v="CUST013"/>
    <s v="Joseph Jackson"/>
    <s v="P009"/>
    <s v="Monitor"/>
    <x v="0"/>
    <n v="3"/>
    <n v="249.99"/>
    <s v="Credit Card"/>
    <x v="0"/>
    <s v="Premium"/>
    <d v="2022-01-14T00:00:00"/>
    <n v="749.97"/>
  </r>
  <r>
    <s v="TRX0139"/>
    <x v="2"/>
    <s v="CUST021"/>
    <s v="Kevin Scott"/>
    <s v="P005"/>
    <s v="Blender"/>
    <x v="1"/>
    <n v="3"/>
    <n v="59.99"/>
    <s v="PayPal"/>
    <x v="1"/>
    <s v="Standard"/>
    <d v="2023-12-02T00:00:00"/>
    <n v="179.97"/>
  </r>
  <r>
    <s v="TRX0043"/>
    <x v="3"/>
    <s v="CUST046"/>
    <s v="Kathleen Bennett"/>
    <s v="P005"/>
    <s v="Blender"/>
    <x v="1"/>
    <n v="3"/>
    <n v="59.99"/>
    <s v="Cash"/>
    <x v="2"/>
    <s v="Premium"/>
    <d v="2023-07-07T00:00:00"/>
    <n v="179.97"/>
  </r>
  <r>
    <s v="TRX0212"/>
    <x v="3"/>
    <s v="CUST003"/>
    <s v="Michael Brown"/>
    <s v="P008"/>
    <s v="Bookshelf"/>
    <x v="2"/>
    <n v="5"/>
    <n v="149.99"/>
    <s v="Credit Card"/>
    <x v="2"/>
    <s v="Premium"/>
    <d v="2024-01-04T00:00:00"/>
    <n v="749.95"/>
  </r>
  <r>
    <s v="TRX0092"/>
    <x v="4"/>
    <s v="CUST024"/>
    <s v="Dorothy Nelson"/>
    <s v="P005"/>
    <s v="Blender"/>
    <x v="1"/>
    <n v="2"/>
    <n v="59.99"/>
    <s v="Cash"/>
    <x v="3"/>
    <s v="Standard"/>
    <d v="2022-07-04T00:00:00"/>
    <n v="119.98"/>
  </r>
  <r>
    <s v="TRX0193"/>
    <x v="4"/>
    <s v="CUST024"/>
    <s v="Dorothy Nelson"/>
    <s v="P003"/>
    <s v="Headphones"/>
    <x v="0"/>
    <n v="5"/>
    <n v="149.99"/>
    <s v="Credit Card"/>
    <x v="0"/>
    <s v="Standard"/>
    <d v="2021-08-10T00:00:00"/>
    <n v="749.95"/>
  </r>
  <r>
    <s v="TRX0240"/>
    <x v="4"/>
    <s v="CUST017"/>
    <s v="Charles Allen"/>
    <s v="P005"/>
    <s v="Blender"/>
    <x v="1"/>
    <n v="3"/>
    <n v="59.99"/>
    <s v="Debit Card"/>
    <x v="1"/>
    <s v="Basic"/>
    <d v="2023-03-22T00:00:00"/>
    <n v="179.97"/>
  </r>
  <r>
    <s v="TRX0135"/>
    <x v="5"/>
    <s v="CUST009"/>
    <s v="Robert Thomas"/>
    <s v="P001"/>
    <s v="Laptop"/>
    <x v="0"/>
    <n v="3"/>
    <n v="899.99"/>
    <s v="PayPal"/>
    <x v="4"/>
    <s v="Standard"/>
    <d v="2024-01-08T00:00:00"/>
    <n v="2699.9700000000003"/>
  </r>
  <r>
    <s v="TRX0185"/>
    <x v="6"/>
    <s v="CUST026"/>
    <s v="Karen Hill"/>
    <s v="P005"/>
    <s v="Blender"/>
    <x v="1"/>
    <n v="3"/>
    <n v="59.99"/>
    <s v="Cash"/>
    <x v="3"/>
    <s v="Premium"/>
    <d v="2023-10-08T00:00:00"/>
    <n v="179.97"/>
  </r>
  <r>
    <s v="TRX0138"/>
    <x v="6"/>
    <s v="CUST022"/>
    <s v="Susan Green"/>
    <s v="P008"/>
    <s v="Bookshelf"/>
    <x v="2"/>
    <n v="1"/>
    <n v="149.99"/>
    <s v="Credit Card"/>
    <x v="3"/>
    <s v="Standard"/>
    <d v="2023-06-26T00:00:00"/>
    <n v="149.99"/>
  </r>
  <r>
    <s v="TRX0209"/>
    <x v="6"/>
    <s v="CUST046"/>
    <s v="Kathleen Bennett"/>
    <s v="P008"/>
    <s v="Bookshelf"/>
    <x v="2"/>
    <n v="5"/>
    <n v="149.99"/>
    <s v="Debit Card"/>
    <x v="2"/>
    <s v="Basic"/>
    <d v="2022-09-26T00:00:00"/>
    <n v="749.95"/>
  </r>
  <r>
    <s v="TRX0246"/>
    <x v="6"/>
    <s v="CUST041"/>
    <s v="Peter Richardson"/>
    <s v="P008"/>
    <s v="Bookshelf"/>
    <x v="2"/>
    <n v="3"/>
    <n v="149.99"/>
    <s v="Cash"/>
    <x v="2"/>
    <s v="Premium"/>
    <d v="2022-09-02T00:00:00"/>
    <n v="449.97"/>
  </r>
  <r>
    <s v="TRX0067"/>
    <x v="7"/>
    <s v="CUST043"/>
    <s v="Dennis Gray"/>
    <s v="P005"/>
    <s v="Blender"/>
    <x v="1"/>
    <n v="3"/>
    <n v="59.99"/>
    <s v="Credit Card"/>
    <x v="2"/>
    <s v="Standard"/>
    <d v="2024-02-29T00:00:00"/>
    <n v="179.97"/>
  </r>
  <r>
    <s v="TRX0191"/>
    <x v="7"/>
    <s v="CUST038"/>
    <s v="Michelle Rogers"/>
    <s v="P002"/>
    <s v="Smartphone"/>
    <x v="0"/>
    <n v="3"/>
    <n v="699.99"/>
    <s v="Credit Card"/>
    <x v="3"/>
    <s v="Basic"/>
    <d v="2022-01-16T00:00:00"/>
    <n v="2099.9700000000003"/>
  </r>
  <r>
    <s v="TRX0230"/>
    <x v="7"/>
    <s v="CUST027"/>
    <s v="George Adams"/>
    <s v="P001"/>
    <s v="Laptop"/>
    <x v="0"/>
    <n v="1"/>
    <n v="899.99"/>
    <s v="Debit Card"/>
    <x v="2"/>
    <s v="Standard"/>
    <d v="2022-12-25T00:00:00"/>
    <n v="899.99"/>
  </r>
  <r>
    <s v="TRX0049"/>
    <x v="8"/>
    <s v="CUST025"/>
    <s v="Mark Carter"/>
    <s v="P008"/>
    <s v="Bookshelf"/>
    <x v="2"/>
    <n v="4"/>
    <n v="149.99"/>
    <s v="Debit Card"/>
    <x v="2"/>
    <s v="Premium"/>
    <d v="2024-03-23T00:00:00"/>
    <n v="599.96"/>
  </r>
  <r>
    <s v="TRX0134"/>
    <x v="8"/>
    <s v="CUST010"/>
    <s v="Maria Garcia"/>
    <s v="P002"/>
    <s v="Smartphone"/>
    <x v="0"/>
    <n v="2"/>
    <n v="699.99"/>
    <s v="Cash"/>
    <x v="2"/>
    <s v="Basic"/>
    <d v="2022-08-08T00:00:00"/>
    <n v="1399.98"/>
  </r>
  <r>
    <s v="TRX0122"/>
    <x v="8"/>
    <s v="CUST025"/>
    <s v="Mark Carter"/>
    <s v="P001"/>
    <s v="Laptop"/>
    <x v="0"/>
    <n v="4"/>
    <n v="899.99"/>
    <s v="Credit Card"/>
    <x v="3"/>
    <s v="Standard"/>
    <d v="2024-02-05T00:00:00"/>
    <n v="3599.96"/>
  </r>
  <r>
    <s v="TRX0222"/>
    <x v="8"/>
    <s v="CUST048"/>
    <s v="Virginia Sanders"/>
    <s v="P009"/>
    <s v="Monitor"/>
    <x v="0"/>
    <n v="3"/>
    <n v="249.99"/>
    <s v="Credit Card"/>
    <x v="2"/>
    <s v="Premium"/>
    <d v="2023-10-25T00:00:00"/>
    <n v="749.97"/>
  </r>
  <r>
    <s v="TRX0231"/>
    <x v="9"/>
    <s v="CUST018"/>
    <s v="Barbara Young"/>
    <s v="P002"/>
    <s v="Smartphone"/>
    <x v="0"/>
    <n v="5"/>
    <n v="699.99"/>
    <s v="Cash"/>
    <x v="3"/>
    <s v="Basic"/>
    <d v="2023-08-29T00:00:00"/>
    <n v="3499.95"/>
  </r>
  <r>
    <s v="TRX0239"/>
    <x v="10"/>
    <s v="CUST012"/>
    <s v="Patricia Moore"/>
    <s v="P002"/>
    <s v="Smartphone"/>
    <x v="0"/>
    <n v="4"/>
    <n v="699.99"/>
    <s v="Cash"/>
    <x v="4"/>
    <s v="Standard"/>
    <d v="2021-08-01T00:00:00"/>
    <n v="2799.96"/>
  </r>
  <r>
    <s v="TRX0204"/>
    <x v="11"/>
    <s v="CUST044"/>
    <s v="Cynthia Price"/>
    <s v="P009"/>
    <s v="Monitor"/>
    <x v="0"/>
    <n v="4"/>
    <n v="249.99"/>
    <s v="PayPal"/>
    <x v="2"/>
    <s v="Standard"/>
    <d v="2021-09-29T00:00:00"/>
    <n v="999.96"/>
  </r>
  <r>
    <s v="TRX0242"/>
    <x v="12"/>
    <s v="CUST025"/>
    <s v="Mark Carter"/>
    <s v="P007"/>
    <s v="Desk"/>
    <x v="2"/>
    <n v="4"/>
    <n v="299.99"/>
    <s v="Cash"/>
    <x v="3"/>
    <s v="Premium"/>
    <d v="2022-06-04T00:00:00"/>
    <n v="1199.96"/>
  </r>
  <r>
    <s v="TRX0071"/>
    <x v="13"/>
    <s v="CUST036"/>
    <s v="Nancy Collins"/>
    <s v="P009"/>
    <s v="Monitor"/>
    <x v="0"/>
    <n v="5"/>
    <n v="249.99"/>
    <s v="Credit Card"/>
    <x v="3"/>
    <s v="Standard"/>
    <d v="2021-11-25T00:00:00"/>
    <n v="1249.95"/>
  </r>
  <r>
    <s v="TRX0040"/>
    <x v="14"/>
    <s v="CUST022"/>
    <s v="Susan Green"/>
    <s v="P007"/>
    <s v="Desk"/>
    <x v="2"/>
    <n v="5"/>
    <n v="299.99"/>
    <s v="PayPal"/>
    <x v="4"/>
    <s v="Basic"/>
    <d v="2023-08-30T00:00:00"/>
    <n v="1499.95"/>
  </r>
  <r>
    <s v="TRX0235"/>
    <x v="14"/>
    <s v="CUST014"/>
    <s v="Linda Martin"/>
    <s v="P004"/>
    <s v="Coffee Maker"/>
    <x v="1"/>
    <n v="3"/>
    <n v="79.989999999999995"/>
    <s v="PayPal"/>
    <x v="4"/>
    <s v="Premium"/>
    <d v="2023-03-27T00:00:00"/>
    <n v="239.96999999999997"/>
  </r>
  <r>
    <s v="TRX0004"/>
    <x v="14"/>
    <s v="CUST012"/>
    <s v="Patricia Moore"/>
    <s v="P010"/>
    <s v="Keyboard"/>
    <x v="0"/>
    <n v="5"/>
    <n v="89.99"/>
    <s v="Cash"/>
    <x v="2"/>
    <s v="Premium"/>
    <d v="2022-12-24T00:00:00"/>
    <n v="449.95"/>
  </r>
  <r>
    <s v="TRX0063"/>
    <x v="15"/>
    <s v="CUST030"/>
    <s v="Helen Roberts"/>
    <s v="P005"/>
    <s v="Blender"/>
    <x v="1"/>
    <n v="2"/>
    <n v="59.99"/>
    <s v="Debit Card"/>
    <x v="0"/>
    <s v="Standard"/>
    <d v="2023-10-15T00:00:00"/>
    <n v="119.98"/>
  </r>
  <r>
    <s v="TRX0241"/>
    <x v="16"/>
    <s v="CUST029"/>
    <s v="Edward Mitchell"/>
    <s v="P005"/>
    <s v="Blender"/>
    <x v="1"/>
    <n v="4"/>
    <n v="59.99"/>
    <s v="Debit Card"/>
    <x v="4"/>
    <s v="Standard"/>
    <d v="2022-11-02T00:00:00"/>
    <n v="239.96"/>
  </r>
  <r>
    <s v="TRX0029"/>
    <x v="16"/>
    <s v="CUST017"/>
    <s v="Charles Allen"/>
    <s v="P006"/>
    <s v="Office Chair"/>
    <x v="2"/>
    <n v="5"/>
    <n v="199.99"/>
    <s v="Cash"/>
    <x v="1"/>
    <s v="Standard"/>
    <d v="2021-08-04T00:00:00"/>
    <n v="999.95"/>
  </r>
  <r>
    <s v="TRX0194"/>
    <x v="17"/>
    <s v="CUST006"/>
    <s v="Lisa Anderson"/>
    <s v="P008"/>
    <s v="Bookshelf"/>
    <x v="2"/>
    <n v="2"/>
    <n v="149.99"/>
    <s v="Credit Card"/>
    <x v="3"/>
    <s v="Basic"/>
    <d v="2022-09-19T00:00:00"/>
    <n v="299.98"/>
  </r>
  <r>
    <s v="TRX0130"/>
    <x v="18"/>
    <s v="CUST002"/>
    <s v="Emma Wilson"/>
    <s v="P008"/>
    <s v="Bookshelf"/>
    <x v="2"/>
    <n v="3"/>
    <n v="149.99"/>
    <s v="Credit Card"/>
    <x v="3"/>
    <s v="Premium"/>
    <d v="2023-05-22T00:00:00"/>
    <n v="449.97"/>
  </r>
  <r>
    <s v="TRX0041"/>
    <x v="19"/>
    <s v="CUST021"/>
    <s v="Kevin Scott"/>
    <s v="P001"/>
    <s v="Laptop"/>
    <x v="0"/>
    <n v="1"/>
    <n v="899.99"/>
    <s v="Credit Card"/>
    <x v="3"/>
    <s v="Premium"/>
    <d v="2022-01-17T00:00:00"/>
    <n v="899.99"/>
  </r>
  <r>
    <s v="TRX0232"/>
    <x v="20"/>
    <s v="CUST012"/>
    <s v="Patricia Moore"/>
    <s v="P007"/>
    <s v="Desk"/>
    <x v="2"/>
    <n v="3"/>
    <n v="299.99"/>
    <s v="Credit Card"/>
    <x v="4"/>
    <s v="Basic"/>
    <d v="2022-09-20T00:00:00"/>
    <n v="899.97"/>
  </r>
  <r>
    <s v="TRX0021"/>
    <x v="21"/>
    <s v="CUST006"/>
    <s v="Lisa Anderson"/>
    <s v="P004"/>
    <s v="Coffee Maker"/>
    <x v="1"/>
    <n v="3"/>
    <n v="79.989999999999995"/>
    <s v="Cash"/>
    <x v="1"/>
    <s v="Basic"/>
    <d v="2023-04-30T00:00:00"/>
    <n v="239.96999999999997"/>
  </r>
  <r>
    <s v="TRX0245"/>
    <x v="22"/>
    <s v="CUST031"/>
    <s v="Steven Turner"/>
    <s v="P006"/>
    <s v="Office Chair"/>
    <x v="2"/>
    <n v="3"/>
    <n v="199.99"/>
    <s v="Credit Card"/>
    <x v="2"/>
    <s v="Premium"/>
    <d v="2024-01-01T00:00:00"/>
    <n v="599.97"/>
  </r>
  <r>
    <s v="TRX0015"/>
    <x v="23"/>
    <s v="CUST008"/>
    <s v="Jennifer Taylor"/>
    <s v="P002"/>
    <s v="Smartphone"/>
    <x v="0"/>
    <n v="5"/>
    <n v="699.99"/>
    <s v="PayPal"/>
    <x v="3"/>
    <s v="Standard"/>
    <d v="2021-07-30T00:00:00"/>
    <n v="3499.95"/>
  </r>
  <r>
    <s v="TRX0202"/>
    <x v="24"/>
    <s v="CUST035"/>
    <s v="Harry Morgan"/>
    <s v="P010"/>
    <s v="Keyboard"/>
    <x v="0"/>
    <n v="3"/>
    <n v="89.99"/>
    <s v="PayPal"/>
    <x v="0"/>
    <s v="Premium"/>
    <d v="2023-07-13T00:00:00"/>
    <n v="269.96999999999997"/>
  </r>
  <r>
    <s v="TRX0042"/>
    <x v="25"/>
    <s v="CUST019"/>
    <s v="Daniel King"/>
    <s v="P004"/>
    <s v="Coffee Maker"/>
    <x v="1"/>
    <n v="1"/>
    <n v="79.989999999999995"/>
    <s v="Cash"/>
    <x v="2"/>
    <s v="Standard"/>
    <d v="2022-12-22T00:00:00"/>
    <n v="79.989999999999995"/>
  </r>
  <r>
    <s v="TRX0128"/>
    <x v="26"/>
    <s v="CUST040"/>
    <s v="Sharon Butler"/>
    <s v="P005"/>
    <s v="Blender"/>
    <x v="1"/>
    <n v="2"/>
    <n v="59.99"/>
    <s v="Cash"/>
    <x v="3"/>
    <s v="Basic"/>
    <d v="2024-04-08T00:00:00"/>
    <n v="119.98"/>
  </r>
  <r>
    <s v="TRX0117"/>
    <x v="26"/>
    <s v="CUST017"/>
    <s v="Charles Allen"/>
    <s v="P010"/>
    <s v="Keyboard"/>
    <x v="0"/>
    <n v="1"/>
    <n v="89.99"/>
    <s v="Cash"/>
    <x v="2"/>
    <s v="Basic"/>
    <d v="2023-08-03T00:00:00"/>
    <n v="89.99"/>
  </r>
  <r>
    <s v="TRX0208"/>
    <x v="27"/>
    <s v="CUST004"/>
    <s v="Sarah Davis"/>
    <s v="P010"/>
    <s v="Keyboard"/>
    <x v="0"/>
    <n v="5"/>
    <n v="89.99"/>
    <s v="Credit Card"/>
    <x v="4"/>
    <s v="Standard"/>
    <d v="2022-01-26T00:00:00"/>
    <n v="449.95"/>
  </r>
  <r>
    <s v="TRX0234"/>
    <x v="28"/>
    <s v="CUST013"/>
    <s v="Joseph Jackson"/>
    <s v="P009"/>
    <s v="Monitor"/>
    <x v="0"/>
    <n v="5"/>
    <n v="249.99"/>
    <s v="Credit Card"/>
    <x v="4"/>
    <s v="Standard"/>
    <d v="2022-05-26T00:00:00"/>
    <n v="1249.95"/>
  </r>
  <r>
    <s v="TRX0121"/>
    <x v="28"/>
    <s v="CUST028"/>
    <s v="Betty Campbell"/>
    <s v="P010"/>
    <s v="Keyboard"/>
    <x v="0"/>
    <n v="1"/>
    <n v="89.99"/>
    <s v="Credit Card"/>
    <x v="1"/>
    <s v="Standard"/>
    <d v="2022-01-21T00:00:00"/>
    <n v="89.99"/>
  </r>
  <r>
    <s v="TRX0220"/>
    <x v="29"/>
    <s v="CUST003"/>
    <s v="Michael Brown"/>
    <s v="P008"/>
    <s v="Bookshelf"/>
    <x v="2"/>
    <n v="2"/>
    <n v="149.99"/>
    <s v="Cash"/>
    <x v="4"/>
    <s v="Premium"/>
    <d v="2022-03-25T00:00:00"/>
    <n v="299.98"/>
  </r>
  <r>
    <s v="TRX0093"/>
    <x v="30"/>
    <s v="CUST050"/>
    <s v="Julie Foster"/>
    <s v="P005"/>
    <s v="Blender"/>
    <x v="1"/>
    <n v="4"/>
    <n v="59.99"/>
    <s v="Cash"/>
    <x v="4"/>
    <s v="Standard"/>
    <d v="2021-08-27T00:00:00"/>
    <n v="239.96"/>
  </r>
  <r>
    <s v="TRX0088"/>
    <x v="31"/>
    <s v="CUST006"/>
    <s v="Lisa Anderson"/>
    <s v="P010"/>
    <s v="Keyboard"/>
    <x v="0"/>
    <n v="5"/>
    <n v="89.99"/>
    <s v="Cash"/>
    <x v="0"/>
    <s v="Premium"/>
    <d v="2022-01-18T00:00:00"/>
    <n v="449.95"/>
  </r>
  <r>
    <s v="TRX0115"/>
    <x v="32"/>
    <s v="CUST012"/>
    <s v="Patricia Moore"/>
    <s v="P010"/>
    <s v="Keyboard"/>
    <x v="0"/>
    <n v="2"/>
    <n v="89.99"/>
    <s v="Credit Card"/>
    <x v="1"/>
    <s v="Premium"/>
    <d v="2021-10-02T00:00:00"/>
    <n v="179.98"/>
  </r>
  <r>
    <s v="TRX0154"/>
    <x v="32"/>
    <s v="CUST023"/>
    <s v="Paul Baker"/>
    <s v="P001"/>
    <s v="Laptop"/>
    <x v="0"/>
    <n v="5"/>
    <n v="899.99"/>
    <s v="Credit Card"/>
    <x v="1"/>
    <s v="Standard"/>
    <d v="2023-02-17T00:00:00"/>
    <n v="4499.95"/>
  </r>
  <r>
    <s v="TRX0044"/>
    <x v="32"/>
    <s v="CUST029"/>
    <s v="Edward Mitchell"/>
    <s v="P001"/>
    <s v="Laptop"/>
    <x v="0"/>
    <n v="5"/>
    <n v="899.99"/>
    <s v="PayPal"/>
    <x v="4"/>
    <s v="Premium"/>
    <d v="2023-12-18T00:00:00"/>
    <n v="4499.95"/>
  </r>
  <r>
    <s v="TRX0061"/>
    <x v="33"/>
    <s v="CUST028"/>
    <s v="Betty Campbell"/>
    <s v="P005"/>
    <s v="Blender"/>
    <x v="1"/>
    <n v="1"/>
    <n v="59.99"/>
    <s v="Debit Card"/>
    <x v="3"/>
    <s v="Premium"/>
    <d v="2023-09-21T00:00:00"/>
    <n v="59.99"/>
  </r>
  <r>
    <s v="TRX0150"/>
    <x v="33"/>
    <s v="CUST008"/>
    <s v="Jennifer Taylor"/>
    <s v="P007"/>
    <s v="Desk"/>
    <x v="2"/>
    <n v="2"/>
    <n v="299.99"/>
    <s v="Debit Card"/>
    <x v="4"/>
    <s v="Standard"/>
    <d v="2023-11-23T00:00:00"/>
    <n v="599.98"/>
  </r>
  <r>
    <s v="TRX0025"/>
    <x v="34"/>
    <s v="CUST049"/>
    <s v="Raymond Ross"/>
    <s v="P010"/>
    <s v="Keyboard"/>
    <x v="0"/>
    <n v="4"/>
    <n v="89.99"/>
    <s v="Debit Card"/>
    <x v="1"/>
    <s v="Basic"/>
    <d v="2023-12-21T00:00:00"/>
    <n v="359.96"/>
  </r>
  <r>
    <s v="TRX0078"/>
    <x v="35"/>
    <s v="CUST021"/>
    <s v="Kevin Scott"/>
    <s v="P004"/>
    <s v="Coffee Maker"/>
    <x v="1"/>
    <n v="1"/>
    <n v="79.989999999999995"/>
    <s v="PayPal"/>
    <x v="0"/>
    <s v="Premium"/>
    <d v="2024-03-01T00:00:00"/>
    <n v="79.989999999999995"/>
  </r>
  <r>
    <s v="TRX0007"/>
    <x v="35"/>
    <s v="CUST009"/>
    <s v="Robert Thomas"/>
    <s v="P010"/>
    <s v="Keyboard"/>
    <x v="0"/>
    <n v="2"/>
    <n v="89.99"/>
    <s v="Cash"/>
    <x v="3"/>
    <s v="Basic"/>
    <d v="2021-08-30T00:00:00"/>
    <n v="179.98"/>
  </r>
  <r>
    <s v="TRX0184"/>
    <x v="36"/>
    <s v="CUST046"/>
    <s v="Kathleen Bennett"/>
    <s v="P002"/>
    <s v="Smartphone"/>
    <x v="0"/>
    <n v="3"/>
    <n v="699.99"/>
    <s v="Credit Card"/>
    <x v="4"/>
    <s v="Premium"/>
    <d v="2023-06-25T00:00:00"/>
    <n v="2099.9700000000003"/>
  </r>
  <r>
    <s v="TRX0104"/>
    <x v="36"/>
    <s v="CUST012"/>
    <s v="Patricia Moore"/>
    <s v="P001"/>
    <s v="Laptop"/>
    <x v="0"/>
    <n v="4"/>
    <n v="899.99"/>
    <s v="Credit Card"/>
    <x v="4"/>
    <s v="Premium"/>
    <d v="2023-03-08T00:00:00"/>
    <n v="3599.96"/>
  </r>
  <r>
    <s v="TRX0127"/>
    <x v="37"/>
    <s v="CUST030"/>
    <s v="Helen Roberts"/>
    <s v="P008"/>
    <s v="Bookshelf"/>
    <x v="2"/>
    <n v="1"/>
    <n v="149.99"/>
    <s v="PayPal"/>
    <x v="4"/>
    <s v="Basic"/>
    <d v="2022-10-17T00:00:00"/>
    <n v="149.99"/>
  </r>
  <r>
    <s v="TRX0096"/>
    <x v="38"/>
    <s v="CUST002"/>
    <s v="Emma Wilson"/>
    <s v="P010"/>
    <s v="Keyboard"/>
    <x v="0"/>
    <n v="2"/>
    <n v="89.99"/>
    <s v="PayPal"/>
    <x v="0"/>
    <s v="Premium"/>
    <d v="2023-12-15T00:00:00"/>
    <n v="179.98"/>
  </r>
  <r>
    <s v="TRX0192"/>
    <x v="39"/>
    <s v="CUST017"/>
    <s v="Charles Allen"/>
    <s v="P010"/>
    <s v="Keyboard"/>
    <x v="0"/>
    <n v="1"/>
    <n v="89.99"/>
    <s v="PayPal"/>
    <x v="3"/>
    <s v="Standard"/>
    <d v="2022-08-29T00:00:00"/>
    <n v="89.99"/>
  </r>
  <r>
    <s v="TRX0052"/>
    <x v="40"/>
    <s v="CUST022"/>
    <s v="Susan Green"/>
    <s v="P010"/>
    <s v="Keyboard"/>
    <x v="0"/>
    <n v="1"/>
    <n v="89.99"/>
    <s v="Cash"/>
    <x v="1"/>
    <s v="Standard"/>
    <d v="2022-02-19T00:00:00"/>
    <n v="89.99"/>
  </r>
  <r>
    <s v="TRX0070"/>
    <x v="40"/>
    <s v="CUST007"/>
    <s v="David Martinez"/>
    <s v="P004"/>
    <s v="Coffee Maker"/>
    <x v="1"/>
    <n v="5"/>
    <n v="79.989999999999995"/>
    <s v="Debit Card"/>
    <x v="0"/>
    <s v="Basic"/>
    <d v="2023-02-24T00:00:00"/>
    <n v="399.95"/>
  </r>
  <r>
    <s v="TRX0086"/>
    <x v="41"/>
    <s v="CUST020"/>
    <s v="Margaret Wright"/>
    <s v="P008"/>
    <s v="Bookshelf"/>
    <x v="2"/>
    <n v="1"/>
    <n v="149.99"/>
    <s v="PayPal"/>
    <x v="2"/>
    <s v="Basic"/>
    <d v="2021-08-13T00:00:00"/>
    <n v="149.99"/>
  </r>
  <r>
    <s v="TRX0113"/>
    <x v="41"/>
    <s v="CUST003"/>
    <s v="Michael Brown"/>
    <s v="P002"/>
    <s v="Smartphone"/>
    <x v="0"/>
    <n v="2"/>
    <n v="699.99"/>
    <s v="PayPal"/>
    <x v="4"/>
    <s v="Premium"/>
    <d v="2024-04-07T00:00:00"/>
    <n v="1399.98"/>
  </r>
  <r>
    <s v="TRX0114"/>
    <x v="41"/>
    <s v="CUST018"/>
    <s v="Barbara Young"/>
    <s v="P010"/>
    <s v="Keyboard"/>
    <x v="0"/>
    <n v="5"/>
    <n v="89.99"/>
    <s v="Debit Card"/>
    <x v="2"/>
    <s v="Premium"/>
    <d v="2023-08-23T00:00:00"/>
    <n v="449.95"/>
  </r>
  <r>
    <s v="TRX0136"/>
    <x v="42"/>
    <s v="CUST049"/>
    <s v="Raymond Ross"/>
    <s v="P005"/>
    <s v="Blender"/>
    <x v="1"/>
    <n v="4"/>
    <n v="59.99"/>
    <s v="Cash"/>
    <x v="1"/>
    <s v="Standard"/>
    <d v="2021-11-09T00:00:00"/>
    <n v="239.96"/>
  </r>
  <r>
    <s v="TRX0018"/>
    <x v="43"/>
    <s v="CUST013"/>
    <s v="Joseph Jackson"/>
    <s v="P003"/>
    <s v="Headphones"/>
    <x v="0"/>
    <n v="1"/>
    <n v="149.99"/>
    <s v="Cash"/>
    <x v="0"/>
    <s v="Standard"/>
    <d v="2022-12-14T00:00:00"/>
    <n v="149.99"/>
  </r>
  <r>
    <s v="TRX0141"/>
    <x v="43"/>
    <s v="CUST033"/>
    <s v="Frank Torres"/>
    <s v="P007"/>
    <s v="Desk"/>
    <x v="2"/>
    <n v="1"/>
    <n v="299.99"/>
    <s v="Credit Card"/>
    <x v="2"/>
    <s v="Premium"/>
    <d v="2022-11-26T00:00:00"/>
    <n v="299.99"/>
  </r>
  <r>
    <s v="TRX0097"/>
    <x v="44"/>
    <s v="CUST033"/>
    <s v="Frank Torres"/>
    <s v="P006"/>
    <s v="Office Chair"/>
    <x v="2"/>
    <n v="2"/>
    <n v="199.99"/>
    <s v="Cash"/>
    <x v="2"/>
    <s v="Basic"/>
    <d v="2021-12-11T00:00:00"/>
    <n v="399.98"/>
  </r>
  <r>
    <s v="TRX0169"/>
    <x v="45"/>
    <s v="CUST047"/>
    <s v="Gerald Murphy"/>
    <s v="P005"/>
    <s v="Blender"/>
    <x v="1"/>
    <n v="3"/>
    <n v="59.99"/>
    <s v="Credit Card"/>
    <x v="3"/>
    <s v="Basic"/>
    <d v="2023-07-23T00:00:00"/>
    <n v="179.97"/>
  </r>
  <r>
    <s v="TRX0216"/>
    <x v="45"/>
    <s v="CUST041"/>
    <s v="Peter Richardson"/>
    <s v="P008"/>
    <s v="Bookshelf"/>
    <x v="2"/>
    <n v="3"/>
    <n v="149.99"/>
    <s v="Cash"/>
    <x v="0"/>
    <s v="Premium"/>
    <d v="2023-09-30T00:00:00"/>
    <n v="449.97"/>
  </r>
  <r>
    <s v="TRX0131"/>
    <x v="46"/>
    <s v="CUST026"/>
    <s v="Karen Hill"/>
    <s v="P006"/>
    <s v="Office Chair"/>
    <x v="2"/>
    <n v="3"/>
    <n v="199.99"/>
    <s v="Cash"/>
    <x v="2"/>
    <s v="Premium"/>
    <d v="2023-11-24T00:00:00"/>
    <n v="599.97"/>
  </r>
  <r>
    <s v="TRX0162"/>
    <x v="47"/>
    <s v="CUST040"/>
    <s v="Sharon Butler"/>
    <s v="P001"/>
    <s v="Laptop"/>
    <x v="0"/>
    <n v="1"/>
    <n v="899.99"/>
    <s v="Cash"/>
    <x v="0"/>
    <s v="Standard"/>
    <d v="2023-09-10T00:00:00"/>
    <n v="899.99"/>
  </r>
  <r>
    <s v="TRX0244"/>
    <x v="48"/>
    <s v="CUST013"/>
    <s v="Joseph Jackson"/>
    <s v="P001"/>
    <s v="Laptop"/>
    <x v="0"/>
    <n v="5"/>
    <n v="899.99"/>
    <s v="Debit Card"/>
    <x v="1"/>
    <s v="Standard"/>
    <d v="2022-12-04T00:00:00"/>
    <n v="4499.95"/>
  </r>
  <r>
    <s v="TRX0006"/>
    <x v="49"/>
    <s v="CUST007"/>
    <s v="David Martinez"/>
    <s v="P005"/>
    <s v="Blender"/>
    <x v="1"/>
    <n v="2"/>
    <n v="59.99"/>
    <s v="Cash"/>
    <x v="2"/>
    <s v="Standard"/>
    <d v="2023-08-14T00:00:00"/>
    <n v="119.98"/>
  </r>
  <r>
    <s v="TRX0215"/>
    <x v="49"/>
    <s v="CUST047"/>
    <s v="Gerald Murphy"/>
    <s v="P009"/>
    <s v="Monitor"/>
    <x v="0"/>
    <n v="4"/>
    <n v="249.99"/>
    <s v="Debit Card"/>
    <x v="0"/>
    <s v="Standard"/>
    <d v="2023-07-20T00:00:00"/>
    <n v="999.96"/>
  </r>
  <r>
    <s v="TRX0080"/>
    <x v="50"/>
    <s v="CUST018"/>
    <s v="Barbara Young"/>
    <s v="P009"/>
    <s v="Monitor"/>
    <x v="0"/>
    <n v="2"/>
    <n v="249.99"/>
    <s v="Cash"/>
    <x v="2"/>
    <s v="Premium"/>
    <d v="2023-08-26T00:00:00"/>
    <n v="499.98"/>
  </r>
  <r>
    <s v="TRX0228"/>
    <x v="50"/>
    <s v="CUST019"/>
    <s v="Daniel King"/>
    <s v="P007"/>
    <s v="Desk"/>
    <x v="2"/>
    <n v="1"/>
    <n v="299.99"/>
    <s v="Cash"/>
    <x v="1"/>
    <s v="Basic"/>
    <d v="2023-02-25T00:00:00"/>
    <n v="299.99"/>
  </r>
  <r>
    <s v="TRX0157"/>
    <x v="51"/>
    <s v="CUST025"/>
    <s v="Mark Carter"/>
    <s v="P010"/>
    <s v="Keyboard"/>
    <x v="0"/>
    <n v="2"/>
    <n v="89.99"/>
    <s v="PayPal"/>
    <x v="1"/>
    <s v="Basic"/>
    <d v="2023-02-19T00:00:00"/>
    <n v="179.98"/>
  </r>
  <r>
    <s v="TRX0002"/>
    <x v="51"/>
    <s v="CUST019"/>
    <s v="Daniel King"/>
    <s v="P007"/>
    <s v="Desk"/>
    <x v="2"/>
    <n v="3"/>
    <n v="299.99"/>
    <s v="Cash"/>
    <x v="0"/>
    <s v="Basic"/>
    <d v="2022-06-20T00:00:00"/>
    <n v="899.97"/>
  </r>
  <r>
    <s v="TRX0217"/>
    <x v="52"/>
    <s v="CUST025"/>
    <s v="Mark Carter"/>
    <s v="P002"/>
    <s v="Smartphone"/>
    <x v="0"/>
    <n v="2"/>
    <n v="699.99"/>
    <s v="Credit Card"/>
    <x v="2"/>
    <s v="Premium"/>
    <d v="2023-03-14T00:00:00"/>
    <n v="1399.98"/>
  </r>
  <r>
    <s v="TRX0249"/>
    <x v="53"/>
    <s v="CUST030"/>
    <s v="Helen Roberts"/>
    <s v="P001"/>
    <s v="Laptop"/>
    <x v="0"/>
    <n v="4"/>
    <n v="899.99"/>
    <s v="Debit Card"/>
    <x v="1"/>
    <s v="Standard"/>
    <d v="2021-11-23T00:00:00"/>
    <n v="3599.96"/>
  </r>
  <r>
    <s v="TRX0065"/>
    <x v="54"/>
    <s v="CUST016"/>
    <s v="Elizabeth Hall"/>
    <s v="P008"/>
    <s v="Bookshelf"/>
    <x v="2"/>
    <n v="2"/>
    <n v="149.99"/>
    <s v="Credit Card"/>
    <x v="3"/>
    <s v="Basic"/>
    <d v="2021-12-12T00:00:00"/>
    <n v="299.98"/>
  </r>
  <r>
    <s v="TRX0176"/>
    <x v="55"/>
    <s v="CUST044"/>
    <s v="Cynthia Price"/>
    <s v="P008"/>
    <s v="Bookshelf"/>
    <x v="2"/>
    <n v="2"/>
    <n v="149.99"/>
    <s v="Debit Card"/>
    <x v="4"/>
    <s v="Standard"/>
    <d v="2022-04-16T00:00:00"/>
    <n v="299.98"/>
  </r>
  <r>
    <s v="TRX0101"/>
    <x v="56"/>
    <s v="CUST010"/>
    <s v="Maria Garcia"/>
    <s v="P010"/>
    <s v="Keyboard"/>
    <x v="0"/>
    <n v="1"/>
    <n v="89.99"/>
    <s v="Credit Card"/>
    <x v="2"/>
    <s v="Standard"/>
    <d v="2024-04-11T00:00:00"/>
    <n v="89.99"/>
  </r>
  <r>
    <s v="TRX0205"/>
    <x v="57"/>
    <s v="CUST025"/>
    <s v="Mark Carter"/>
    <s v="P007"/>
    <s v="Desk"/>
    <x v="2"/>
    <n v="5"/>
    <n v="299.99"/>
    <s v="Credit Card"/>
    <x v="2"/>
    <s v="Basic"/>
    <d v="2023-02-08T00:00:00"/>
    <n v="1499.95"/>
  </r>
  <r>
    <s v="TRX0020"/>
    <x v="58"/>
    <s v="CUST007"/>
    <s v="David Martinez"/>
    <s v="P003"/>
    <s v="Headphones"/>
    <x v="0"/>
    <n v="4"/>
    <n v="149.99"/>
    <s v="Debit Card"/>
    <x v="1"/>
    <s v="Premium"/>
    <d v="2022-09-16T00:00:00"/>
    <n v="599.96"/>
  </r>
  <r>
    <s v="TRX0075"/>
    <x v="58"/>
    <s v="CUST020"/>
    <s v="Margaret Wright"/>
    <s v="P009"/>
    <s v="Monitor"/>
    <x v="0"/>
    <n v="5"/>
    <n v="249.99"/>
    <s v="PayPal"/>
    <x v="4"/>
    <s v="Premium"/>
    <d v="2022-08-09T00:00:00"/>
    <n v="1249.95"/>
  </r>
  <r>
    <s v="TRX0098"/>
    <x v="58"/>
    <s v="CUST026"/>
    <s v="Karen Hill"/>
    <s v="P009"/>
    <s v="Monitor"/>
    <x v="0"/>
    <n v="3"/>
    <n v="249.99"/>
    <s v="PayPal"/>
    <x v="2"/>
    <s v="Premium"/>
    <d v="2021-09-26T00:00:00"/>
    <n v="749.97"/>
  </r>
  <r>
    <s v="TRX0247"/>
    <x v="58"/>
    <s v="CUST046"/>
    <s v="Kathleen Bennett"/>
    <s v="P006"/>
    <s v="Office Chair"/>
    <x v="2"/>
    <n v="4"/>
    <n v="199.99"/>
    <s v="Cash"/>
    <x v="2"/>
    <s v="Standard"/>
    <d v="2021-09-19T00:00:00"/>
    <n v="799.96"/>
  </r>
  <r>
    <s v="TRX0027"/>
    <x v="59"/>
    <s v="CUST028"/>
    <s v="Betty Campbell"/>
    <s v="P006"/>
    <s v="Office Chair"/>
    <x v="2"/>
    <n v="5"/>
    <n v="199.99"/>
    <s v="Cash"/>
    <x v="2"/>
    <s v="Premium"/>
    <d v="2023-03-06T00:00:00"/>
    <n v="999.95"/>
  </r>
  <r>
    <s v="TRX0140"/>
    <x v="60"/>
    <s v="CUST025"/>
    <s v="Mark Carter"/>
    <s v="P010"/>
    <s v="Keyboard"/>
    <x v="0"/>
    <n v="2"/>
    <n v="89.99"/>
    <s v="Cash"/>
    <x v="4"/>
    <s v="Premium"/>
    <d v="2023-02-15T00:00:00"/>
    <n v="179.98"/>
  </r>
  <r>
    <s v="TRX0132"/>
    <x v="61"/>
    <s v="CUST047"/>
    <s v="Gerald Murphy"/>
    <s v="P001"/>
    <s v="Laptop"/>
    <x v="0"/>
    <n v="5"/>
    <n v="899.99"/>
    <s v="Debit Card"/>
    <x v="4"/>
    <s v="Basic"/>
    <d v="2021-11-26T00:00:00"/>
    <n v="4499.95"/>
  </r>
  <r>
    <s v="TRX0031"/>
    <x v="61"/>
    <s v="CUST036"/>
    <s v="Nancy Collins"/>
    <s v="P003"/>
    <s v="Headphones"/>
    <x v="0"/>
    <n v="3"/>
    <n v="149.99"/>
    <s v="PayPal"/>
    <x v="4"/>
    <s v="Basic"/>
    <d v="2022-01-13T00:00:00"/>
    <n v="449.97"/>
  </r>
  <r>
    <s v="TRX0236"/>
    <x v="62"/>
    <s v="CUST044"/>
    <s v="Cynthia Price"/>
    <s v="P008"/>
    <s v="Bookshelf"/>
    <x v="2"/>
    <n v="5"/>
    <n v="149.99"/>
    <s v="Credit Card"/>
    <x v="0"/>
    <s v="Basic"/>
    <d v="2024-01-19T00:00:00"/>
    <n v="749.95"/>
  </r>
  <r>
    <s v="TRX0001"/>
    <x v="63"/>
    <s v="CUST039"/>
    <s v="Lawrence Reed"/>
    <s v="P004"/>
    <s v="Coffee Maker"/>
    <x v="1"/>
    <n v="3"/>
    <n v="79.989999999999995"/>
    <s v="Cash"/>
    <x v="0"/>
    <s v="Premium"/>
    <d v="2022-08-06T00:00:00"/>
    <n v="239.96999999999997"/>
  </r>
  <r>
    <s v="TRX0037"/>
    <x v="63"/>
    <s v="CUST035"/>
    <s v="Harry Morgan"/>
    <s v="P009"/>
    <s v="Monitor"/>
    <x v="0"/>
    <n v="2"/>
    <n v="249.99"/>
    <s v="Cash"/>
    <x v="1"/>
    <s v="Standard"/>
    <d v="2022-01-11T00:00:00"/>
    <n v="499.98"/>
  </r>
  <r>
    <s v="TRX0058"/>
    <x v="64"/>
    <s v="CUST047"/>
    <s v="Gerald Murphy"/>
    <s v="P002"/>
    <s v="Smartphone"/>
    <x v="0"/>
    <n v="1"/>
    <n v="699.99"/>
    <s v="Cash"/>
    <x v="0"/>
    <s v="Premium"/>
    <d v="2021-10-28T00:00:00"/>
    <n v="699.99"/>
  </r>
  <r>
    <s v="TRX0170"/>
    <x v="64"/>
    <s v="CUST034"/>
    <s v="Carol Evans"/>
    <s v="P003"/>
    <s v="Headphones"/>
    <x v="0"/>
    <n v="3"/>
    <n v="149.99"/>
    <s v="Cash"/>
    <x v="3"/>
    <s v="Premium"/>
    <d v="2023-10-13T00:00:00"/>
    <n v="449.97"/>
  </r>
  <r>
    <s v="TRX0248"/>
    <x v="65"/>
    <s v="CUST032"/>
    <s v="Sandra Phillips"/>
    <s v="P002"/>
    <s v="Smartphone"/>
    <x v="0"/>
    <n v="2"/>
    <n v="699.99"/>
    <s v="Credit Card"/>
    <x v="2"/>
    <s v="Premium"/>
    <d v="2021-08-13T00:00:00"/>
    <n v="1399.98"/>
  </r>
  <r>
    <s v="TRX0099"/>
    <x v="66"/>
    <s v="CUST034"/>
    <s v="Carol Evans"/>
    <s v="P009"/>
    <s v="Monitor"/>
    <x v="0"/>
    <n v="1"/>
    <n v="249.99"/>
    <s v="Credit Card"/>
    <x v="3"/>
    <s v="Premium"/>
    <d v="2022-05-04T00:00:00"/>
    <n v="249.99"/>
  </r>
  <r>
    <s v="TRX0074"/>
    <x v="66"/>
    <s v="CUST023"/>
    <s v="Paul Baker"/>
    <s v="P009"/>
    <s v="Monitor"/>
    <x v="0"/>
    <n v="1"/>
    <n v="249.99"/>
    <s v="Debit Card"/>
    <x v="2"/>
    <s v="Premium"/>
    <d v="2024-02-10T00:00:00"/>
    <n v="249.99"/>
  </r>
  <r>
    <s v="TRX0225"/>
    <x v="67"/>
    <s v="CUST039"/>
    <s v="Lawrence Reed"/>
    <s v="P002"/>
    <s v="Smartphone"/>
    <x v="0"/>
    <n v="2"/>
    <n v="699.99"/>
    <s v="Debit Card"/>
    <x v="0"/>
    <s v="Premium"/>
    <d v="2022-11-05T00:00:00"/>
    <n v="1399.98"/>
  </r>
  <r>
    <s v="TRX0100"/>
    <x v="68"/>
    <s v="CUST031"/>
    <s v="Steven Turner"/>
    <s v="P005"/>
    <s v="Blender"/>
    <x v="1"/>
    <n v="3"/>
    <n v="59.99"/>
    <s v="Credit Card"/>
    <x v="0"/>
    <s v="Premium"/>
    <d v="2022-06-05T00:00:00"/>
    <n v="179.97"/>
  </r>
  <r>
    <s v="TRX0142"/>
    <x v="69"/>
    <s v="CUST002"/>
    <s v="Emma Wilson"/>
    <s v="P005"/>
    <s v="Blender"/>
    <x v="1"/>
    <n v="3"/>
    <n v="59.99"/>
    <s v="PayPal"/>
    <x v="4"/>
    <s v="Standard"/>
    <d v="2022-07-06T00:00:00"/>
    <n v="179.97"/>
  </r>
  <r>
    <s v="TRX0112"/>
    <x v="69"/>
    <s v="CUST008"/>
    <s v="Jennifer Taylor"/>
    <s v="P004"/>
    <s v="Coffee Maker"/>
    <x v="1"/>
    <n v="4"/>
    <n v="79.989999999999995"/>
    <s v="Cash"/>
    <x v="2"/>
    <s v="Basic"/>
    <d v="2021-11-30T00:00:00"/>
    <n v="319.95999999999998"/>
  </r>
  <r>
    <s v="TRX0161"/>
    <x v="70"/>
    <s v="CUST017"/>
    <s v="Charles Allen"/>
    <s v="P004"/>
    <s v="Coffee Maker"/>
    <x v="1"/>
    <n v="1"/>
    <n v="79.989999999999995"/>
    <s v="Cash"/>
    <x v="3"/>
    <s v="Basic"/>
    <d v="2022-05-12T00:00:00"/>
    <n v="79.989999999999995"/>
  </r>
  <r>
    <s v="TRX0108"/>
    <x v="71"/>
    <s v="CUST024"/>
    <s v="Dorothy Nelson"/>
    <s v="P007"/>
    <s v="Desk"/>
    <x v="2"/>
    <n v="3"/>
    <n v="299.99"/>
    <s v="Credit Card"/>
    <x v="0"/>
    <s v="Premium"/>
    <d v="2021-10-25T00:00:00"/>
    <n v="899.97"/>
  </r>
  <r>
    <s v="TRX0211"/>
    <x v="72"/>
    <s v="CUST046"/>
    <s v="Kathleen Bennett"/>
    <s v="P010"/>
    <s v="Keyboard"/>
    <x v="0"/>
    <n v="2"/>
    <n v="89.99"/>
    <s v="Credit Card"/>
    <x v="1"/>
    <s v="Premium"/>
    <d v="2022-03-21T00:00:00"/>
    <n v="179.98"/>
  </r>
  <r>
    <s v="TRX0005"/>
    <x v="73"/>
    <s v="CUST042"/>
    <s v="Ruth Brooks"/>
    <s v="P003"/>
    <s v="Headphones"/>
    <x v="0"/>
    <n v="4"/>
    <n v="149.99"/>
    <s v="Cash"/>
    <x v="2"/>
    <s v="Basic"/>
    <d v="2022-12-14T00:00:00"/>
    <n v="599.96"/>
  </r>
  <r>
    <s v="TRX0195"/>
    <x v="74"/>
    <s v="CUST026"/>
    <s v="Karen Hill"/>
    <s v="P009"/>
    <s v="Monitor"/>
    <x v="0"/>
    <n v="2"/>
    <n v="249.99"/>
    <s v="PayPal"/>
    <x v="1"/>
    <s v="Basic"/>
    <d v="2023-03-08T00:00:00"/>
    <n v="499.98"/>
  </r>
  <r>
    <s v="TRX0054"/>
    <x v="74"/>
    <s v="CUST004"/>
    <s v="Sarah Davis"/>
    <s v="P006"/>
    <s v="Office Chair"/>
    <x v="2"/>
    <n v="4"/>
    <n v="199.99"/>
    <s v="Debit Card"/>
    <x v="4"/>
    <s v="Basic"/>
    <d v="2021-09-19T00:00:00"/>
    <n v="799.96"/>
  </r>
  <r>
    <s v="TRX0077"/>
    <x v="75"/>
    <s v="CUST019"/>
    <s v="Daniel King"/>
    <s v="P010"/>
    <s v="Keyboard"/>
    <x v="0"/>
    <n v="5"/>
    <n v="89.99"/>
    <s v="Credit Card"/>
    <x v="4"/>
    <s v="Premium"/>
    <d v="2021-09-07T00:00:00"/>
    <n v="449.95"/>
  </r>
  <r>
    <s v="TRX0111"/>
    <x v="75"/>
    <s v="CUST011"/>
    <s v="William White"/>
    <s v="P003"/>
    <s v="Headphones"/>
    <x v="0"/>
    <n v="1"/>
    <n v="149.99"/>
    <s v="PayPal"/>
    <x v="4"/>
    <s v="Standard"/>
    <d v="2021-10-13T00:00:00"/>
    <n v="149.99"/>
  </r>
  <r>
    <s v="TRX0123"/>
    <x v="75"/>
    <s v="CUST041"/>
    <s v="Peter Richardson"/>
    <s v="P002"/>
    <s v="Smartphone"/>
    <x v="0"/>
    <n v="4"/>
    <n v="699.99"/>
    <s v="PayPal"/>
    <x v="1"/>
    <s v="Basic"/>
    <d v="2022-02-26T00:00:00"/>
    <n v="2799.96"/>
  </r>
  <r>
    <s v="TRX0177"/>
    <x v="76"/>
    <s v="CUST032"/>
    <s v="Sandra Phillips"/>
    <s v="P001"/>
    <s v="Laptop"/>
    <x v="0"/>
    <n v="3"/>
    <n v="899.99"/>
    <s v="Credit Card"/>
    <x v="2"/>
    <s v="Standard"/>
    <d v="2023-08-19T00:00:00"/>
    <n v="2699.9700000000003"/>
  </r>
  <r>
    <s v="TRX0119"/>
    <x v="77"/>
    <s v="CUST014"/>
    <s v="Linda Martin"/>
    <s v="P008"/>
    <s v="Bookshelf"/>
    <x v="2"/>
    <n v="3"/>
    <n v="149.99"/>
    <s v="PayPal"/>
    <x v="4"/>
    <s v="Basic"/>
    <d v="2022-11-21T00:00:00"/>
    <n v="449.97"/>
  </r>
  <r>
    <s v="TRX0181"/>
    <x v="78"/>
    <s v="CUST012"/>
    <s v="Patricia Moore"/>
    <s v="P007"/>
    <s v="Desk"/>
    <x v="2"/>
    <n v="2"/>
    <n v="299.99"/>
    <s v="Debit Card"/>
    <x v="0"/>
    <s v="Basic"/>
    <d v="2022-01-08T00:00:00"/>
    <n v="599.98"/>
  </r>
  <r>
    <s v="TRX0129"/>
    <x v="79"/>
    <s v="CUST015"/>
    <s v="Richard Lee"/>
    <s v="P006"/>
    <s v="Office Chair"/>
    <x v="2"/>
    <n v="1"/>
    <n v="199.99"/>
    <s v="Debit Card"/>
    <x v="4"/>
    <s v="Standard"/>
    <d v="2023-01-27T00:00:00"/>
    <n v="199.99"/>
  </r>
  <r>
    <s v="TRX0174"/>
    <x v="80"/>
    <s v="CUST003"/>
    <s v="Michael Brown"/>
    <s v="P007"/>
    <s v="Desk"/>
    <x v="2"/>
    <n v="4"/>
    <n v="299.99"/>
    <s v="Cash"/>
    <x v="0"/>
    <s v="Premium"/>
    <d v="2021-09-21T00:00:00"/>
    <n v="1199.96"/>
  </r>
  <r>
    <s v="TRX0146"/>
    <x v="81"/>
    <s v="CUST010"/>
    <s v="Maria Garcia"/>
    <s v="P005"/>
    <s v="Blender"/>
    <x v="1"/>
    <n v="2"/>
    <n v="59.99"/>
    <s v="Credit Card"/>
    <x v="0"/>
    <s v="Basic"/>
    <d v="2022-01-18T00:00:00"/>
    <n v="119.98"/>
  </r>
  <r>
    <s v="TRX0203"/>
    <x v="81"/>
    <s v="CUST032"/>
    <s v="Sandra Phillips"/>
    <s v="P003"/>
    <s v="Headphones"/>
    <x v="0"/>
    <n v="4"/>
    <n v="149.99"/>
    <s v="Credit Card"/>
    <x v="2"/>
    <s v="Premium"/>
    <d v="2023-05-30T00:00:00"/>
    <n v="599.96"/>
  </r>
  <r>
    <s v="TRX0055"/>
    <x v="82"/>
    <s v="CUST016"/>
    <s v="Elizabeth Hall"/>
    <s v="P002"/>
    <s v="Smartphone"/>
    <x v="0"/>
    <n v="2"/>
    <n v="699.99"/>
    <s v="Debit Card"/>
    <x v="4"/>
    <s v="Premium"/>
    <d v="2023-12-14T00:00:00"/>
    <n v="1399.98"/>
  </r>
  <r>
    <s v="TRX0218"/>
    <x v="82"/>
    <s v="CUST034"/>
    <s v="Carol Evans"/>
    <s v="P008"/>
    <s v="Bookshelf"/>
    <x v="2"/>
    <n v="3"/>
    <n v="149.99"/>
    <s v="Credit Card"/>
    <x v="1"/>
    <s v="Standard"/>
    <d v="2023-01-14T00:00:00"/>
    <n v="449.97"/>
  </r>
  <r>
    <s v="TRX0085"/>
    <x v="83"/>
    <s v="CUST019"/>
    <s v="Daniel King"/>
    <s v="P007"/>
    <s v="Desk"/>
    <x v="2"/>
    <n v="3"/>
    <n v="299.99"/>
    <s v="Credit Card"/>
    <x v="0"/>
    <s v="Standard"/>
    <d v="2023-09-05T00:00:00"/>
    <n v="899.97"/>
  </r>
  <r>
    <s v="TRX0158"/>
    <x v="84"/>
    <s v="CUST027"/>
    <s v="George Adams"/>
    <s v="P001"/>
    <s v="Laptop"/>
    <x v="0"/>
    <n v="3"/>
    <n v="899.99"/>
    <s v="PayPal"/>
    <x v="3"/>
    <s v="Basic"/>
    <d v="2023-10-16T00:00:00"/>
    <n v="2699.9700000000003"/>
  </r>
  <r>
    <s v="TRX0173"/>
    <x v="85"/>
    <s v="CUST018"/>
    <s v="Barbara Young"/>
    <s v="P002"/>
    <s v="Smartphone"/>
    <x v="0"/>
    <n v="5"/>
    <n v="699.99"/>
    <s v="Cash"/>
    <x v="4"/>
    <s v="Standard"/>
    <d v="2023-03-23T00:00:00"/>
    <n v="3499.95"/>
  </r>
  <r>
    <s v="TRX0034"/>
    <x v="85"/>
    <s v="CUST049"/>
    <s v="Raymond Ross"/>
    <s v="P002"/>
    <s v="Smartphone"/>
    <x v="0"/>
    <n v="4"/>
    <n v="699.99"/>
    <s v="Credit Card"/>
    <x v="0"/>
    <s v="Basic"/>
    <d v="2024-04-03T00:00:00"/>
    <n v="2799.96"/>
  </r>
  <r>
    <s v="TRX0189"/>
    <x v="85"/>
    <s v="CUST040"/>
    <s v="Sharon Butler"/>
    <s v="P001"/>
    <s v="Laptop"/>
    <x v="0"/>
    <n v="1"/>
    <n v="899.99"/>
    <s v="Credit Card"/>
    <x v="4"/>
    <s v="Standard"/>
    <d v="2024-03-18T00:00:00"/>
    <n v="899.99"/>
  </r>
  <r>
    <s v="TRX0190"/>
    <x v="86"/>
    <s v="CUST039"/>
    <s v="Lawrence Reed"/>
    <s v="P003"/>
    <s v="Headphones"/>
    <x v="0"/>
    <n v="2"/>
    <n v="149.99"/>
    <s v="Credit Card"/>
    <x v="3"/>
    <s v="Basic"/>
    <d v="2022-12-21T00:00:00"/>
    <n v="299.98"/>
  </r>
  <r>
    <s v="TRX0079"/>
    <x v="87"/>
    <s v="CUST039"/>
    <s v="Lawrence Reed"/>
    <s v="P010"/>
    <s v="Keyboard"/>
    <x v="0"/>
    <n v="3"/>
    <n v="89.99"/>
    <s v="PayPal"/>
    <x v="0"/>
    <s v="Basic"/>
    <d v="2021-12-21T00:00:00"/>
    <n v="269.96999999999997"/>
  </r>
  <r>
    <s v="TRX0095"/>
    <x v="88"/>
    <s v="CUST046"/>
    <s v="Kathleen Bennett"/>
    <s v="P003"/>
    <s v="Headphones"/>
    <x v="0"/>
    <n v="2"/>
    <n v="149.99"/>
    <s v="PayPal"/>
    <x v="0"/>
    <s v="Basic"/>
    <d v="2021-10-04T00:00:00"/>
    <n v="299.98"/>
  </r>
  <r>
    <s v="TRX0009"/>
    <x v="88"/>
    <s v="CUST004"/>
    <s v="Sarah Davis"/>
    <s v="P002"/>
    <s v="Smartphone"/>
    <x v="0"/>
    <n v="2"/>
    <n v="699.99"/>
    <s v="Cash"/>
    <x v="0"/>
    <s v="Basic"/>
    <d v="2023-03-07T00:00:00"/>
    <n v="1399.98"/>
  </r>
  <r>
    <s v="TRX0167"/>
    <x v="89"/>
    <s v="CUST028"/>
    <s v="Betty Campbell"/>
    <s v="P002"/>
    <s v="Smartphone"/>
    <x v="0"/>
    <n v="5"/>
    <n v="699.99"/>
    <s v="Cash"/>
    <x v="2"/>
    <s v="Premium"/>
    <d v="2022-03-15T00:00:00"/>
    <n v="3499.95"/>
  </r>
  <r>
    <s v="TRX0153"/>
    <x v="90"/>
    <s v="CUST049"/>
    <s v="Raymond Ross"/>
    <s v="P010"/>
    <s v="Keyboard"/>
    <x v="0"/>
    <n v="3"/>
    <n v="89.99"/>
    <s v="Credit Card"/>
    <x v="2"/>
    <s v="Standard"/>
    <d v="2022-02-23T00:00:00"/>
    <n v="269.96999999999997"/>
  </r>
  <r>
    <s v="TRX0057"/>
    <x v="91"/>
    <s v="CUST023"/>
    <s v="Paul Baker"/>
    <s v="P009"/>
    <s v="Monitor"/>
    <x v="0"/>
    <n v="5"/>
    <n v="249.99"/>
    <s v="Credit Card"/>
    <x v="1"/>
    <s v="Standard"/>
    <d v="2022-11-16T00:00:00"/>
    <n v="1249.95"/>
  </r>
  <r>
    <s v="TRX0017"/>
    <x v="92"/>
    <s v="CUST026"/>
    <s v="Karen Hill"/>
    <s v="P007"/>
    <s v="Desk"/>
    <x v="2"/>
    <n v="3"/>
    <n v="299.99"/>
    <s v="Credit Card"/>
    <x v="1"/>
    <s v="Standard"/>
    <d v="2021-11-02T00:00:00"/>
    <n v="899.97"/>
  </r>
  <r>
    <s v="TRX0060"/>
    <x v="93"/>
    <s v="CUST012"/>
    <s v="Patricia Moore"/>
    <s v="P010"/>
    <s v="Keyboard"/>
    <x v="0"/>
    <n v="3"/>
    <n v="89.99"/>
    <s v="Credit Card"/>
    <x v="2"/>
    <s v="Premium"/>
    <d v="2021-08-12T00:00:00"/>
    <n v="269.96999999999997"/>
  </r>
  <r>
    <s v="TRX0109"/>
    <x v="94"/>
    <s v="CUST010"/>
    <s v="Maria Garcia"/>
    <s v="P008"/>
    <s v="Bookshelf"/>
    <x v="2"/>
    <n v="2"/>
    <n v="149.99"/>
    <s v="Credit Card"/>
    <x v="3"/>
    <s v="Premium"/>
    <d v="2022-10-14T00:00:00"/>
    <n v="299.98"/>
  </r>
  <r>
    <s v="TRX0090"/>
    <x v="95"/>
    <s v="CUST020"/>
    <s v="Margaret Wright"/>
    <s v="P009"/>
    <s v="Monitor"/>
    <x v="0"/>
    <n v="1"/>
    <n v="249.99"/>
    <s v="Credit Card"/>
    <x v="2"/>
    <s v="Premium"/>
    <d v="2022-09-24T00:00:00"/>
    <n v="249.99"/>
  </r>
  <r>
    <s v="TRX0035"/>
    <x v="96"/>
    <s v="CUST041"/>
    <s v="Peter Richardson"/>
    <s v="P003"/>
    <s v="Headphones"/>
    <x v="0"/>
    <n v="3"/>
    <n v="149.99"/>
    <s v="Cash"/>
    <x v="2"/>
    <s v="Basic"/>
    <d v="2022-07-27T00:00:00"/>
    <n v="449.97"/>
  </r>
  <r>
    <s v="TRX0172"/>
    <x v="96"/>
    <s v="CUST023"/>
    <s v="Paul Baker"/>
    <s v="P005"/>
    <s v="Blender"/>
    <x v="1"/>
    <n v="5"/>
    <n v="59.99"/>
    <s v="PayPal"/>
    <x v="3"/>
    <s v="Premium"/>
    <d v="2022-05-13T00:00:00"/>
    <n v="299.95"/>
  </r>
  <r>
    <s v="TRX0076"/>
    <x v="96"/>
    <s v="CUST012"/>
    <s v="Patricia Moore"/>
    <s v="P009"/>
    <s v="Monitor"/>
    <x v="0"/>
    <n v="4"/>
    <n v="249.99"/>
    <s v="Credit Card"/>
    <x v="3"/>
    <s v="Standard"/>
    <d v="2022-04-08T00:00:00"/>
    <n v="999.96"/>
  </r>
  <r>
    <s v="TRX0210"/>
    <x v="97"/>
    <s v="CUST004"/>
    <s v="Sarah Davis"/>
    <s v="P008"/>
    <s v="Bookshelf"/>
    <x v="2"/>
    <n v="5"/>
    <n v="149.99"/>
    <s v="PayPal"/>
    <x v="0"/>
    <s v="Basic"/>
    <d v="2022-12-06T00:00:00"/>
    <n v="749.95"/>
  </r>
  <r>
    <s v="TRX0149"/>
    <x v="97"/>
    <s v="CUST027"/>
    <s v="George Adams"/>
    <s v="P005"/>
    <s v="Blender"/>
    <x v="1"/>
    <n v="3"/>
    <n v="59.99"/>
    <s v="Debit Card"/>
    <x v="1"/>
    <s v="Standard"/>
    <d v="2023-11-30T00:00:00"/>
    <n v="179.97"/>
  </r>
  <r>
    <s v="TRX0073"/>
    <x v="98"/>
    <s v="CUST032"/>
    <s v="Sandra Phillips"/>
    <s v="P008"/>
    <s v="Bookshelf"/>
    <x v="2"/>
    <n v="5"/>
    <n v="149.99"/>
    <s v="Cash"/>
    <x v="2"/>
    <s v="Basic"/>
    <d v="2022-11-04T00:00:00"/>
    <n v="749.95"/>
  </r>
  <r>
    <s v="TRX0033"/>
    <x v="98"/>
    <s v="CUST025"/>
    <s v="Mark Carter"/>
    <s v="P002"/>
    <s v="Smartphone"/>
    <x v="0"/>
    <n v="2"/>
    <n v="699.99"/>
    <s v="PayPal"/>
    <x v="3"/>
    <s v="Standard"/>
    <d v="2022-07-28T00:00:00"/>
    <n v="1399.98"/>
  </r>
  <r>
    <s v="TRX0160"/>
    <x v="99"/>
    <s v="CUST029"/>
    <s v="Edward Mitchell"/>
    <s v="P006"/>
    <s v="Office Chair"/>
    <x v="2"/>
    <n v="4"/>
    <n v="199.99"/>
    <s v="Debit Card"/>
    <x v="0"/>
    <s v="Premium"/>
    <d v="2021-08-19T00:00:00"/>
    <n v="799.96"/>
  </r>
  <r>
    <s v="TRX0145"/>
    <x v="100"/>
    <s v="CUST033"/>
    <s v="Frank Torres"/>
    <s v="P005"/>
    <s v="Blender"/>
    <x v="1"/>
    <n v="1"/>
    <n v="59.99"/>
    <s v="Debit Card"/>
    <x v="3"/>
    <s v="Standard"/>
    <d v="2021-12-30T00:00:00"/>
    <n v="59.99"/>
  </r>
  <r>
    <s v="TRX0148"/>
    <x v="100"/>
    <s v="CUST004"/>
    <s v="Sarah Davis"/>
    <s v="P002"/>
    <s v="Smartphone"/>
    <x v="0"/>
    <n v="3"/>
    <n v="699.99"/>
    <s v="PayPal"/>
    <x v="3"/>
    <s v="Standard"/>
    <d v="2022-01-22T00:00:00"/>
    <n v="2099.9700000000003"/>
  </r>
  <r>
    <s v="TRX0012"/>
    <x v="101"/>
    <s v="CUST045"/>
    <s v="Douglas Watson"/>
    <s v="P009"/>
    <s v="Monitor"/>
    <x v="0"/>
    <n v="5"/>
    <n v="249.99"/>
    <s v="Credit Card"/>
    <x v="2"/>
    <s v="Basic"/>
    <d v="2022-11-08T00:00:00"/>
    <n v="1249.95"/>
  </r>
  <r>
    <s v="TRX0206"/>
    <x v="102"/>
    <s v="CUST014"/>
    <s v="Linda Martin"/>
    <s v="P008"/>
    <s v="Bookshelf"/>
    <x v="2"/>
    <n v="2"/>
    <n v="149.99"/>
    <s v="Cash"/>
    <x v="1"/>
    <s v="Standard"/>
    <d v="2023-06-24T00:00:00"/>
    <n v="299.98"/>
  </r>
  <r>
    <s v="TRX0045"/>
    <x v="103"/>
    <s v="CUST021"/>
    <s v="Kevin Scott"/>
    <s v="P007"/>
    <s v="Desk"/>
    <x v="2"/>
    <n v="3"/>
    <n v="299.99"/>
    <s v="Cash"/>
    <x v="1"/>
    <s v="Premium"/>
    <d v="2022-04-08T00:00:00"/>
    <n v="899.97"/>
  </r>
  <r>
    <s v="TRX0094"/>
    <x v="103"/>
    <s v="CUST017"/>
    <s v="Charles Allen"/>
    <s v="P009"/>
    <s v="Monitor"/>
    <x v="0"/>
    <n v="5"/>
    <n v="249.99"/>
    <s v="Cash"/>
    <x v="0"/>
    <s v="Premium"/>
    <d v="2021-10-16T00:00:00"/>
    <n v="1249.95"/>
  </r>
  <r>
    <s v="TRX0133"/>
    <x v="103"/>
    <s v="CUST013"/>
    <s v="Joseph Jackson"/>
    <s v="P003"/>
    <s v="Headphones"/>
    <x v="0"/>
    <n v="2"/>
    <n v="149.99"/>
    <s v="Cash"/>
    <x v="1"/>
    <s v="Premium"/>
    <d v="2021-10-06T00:00:00"/>
    <n v="299.98"/>
  </r>
  <r>
    <s v="TRX0201"/>
    <x v="103"/>
    <s v="CUST025"/>
    <s v="Mark Carter"/>
    <s v="P002"/>
    <s v="Smartphone"/>
    <x v="0"/>
    <n v="5"/>
    <n v="699.99"/>
    <s v="Debit Card"/>
    <x v="3"/>
    <s v="Standard"/>
    <d v="2023-01-18T00:00:00"/>
    <n v="3499.95"/>
  </r>
  <r>
    <s v="TRX0137"/>
    <x v="104"/>
    <s v="CUST011"/>
    <s v="William White"/>
    <s v="P009"/>
    <s v="Monitor"/>
    <x v="0"/>
    <n v="4"/>
    <n v="249.99"/>
    <s v="PayPal"/>
    <x v="4"/>
    <s v="Premium"/>
    <d v="2023-06-21T00:00:00"/>
    <n v="999.96"/>
  </r>
  <r>
    <s v="TRX0066"/>
    <x v="105"/>
    <s v="CUST024"/>
    <s v="Dorothy Nelson"/>
    <s v="P002"/>
    <s v="Smartphone"/>
    <x v="0"/>
    <n v="4"/>
    <n v="699.99"/>
    <s v="Credit Card"/>
    <x v="2"/>
    <s v="Premium"/>
    <d v="2022-05-22T00:00:00"/>
    <n v="2799.96"/>
  </r>
  <r>
    <s v="TRX0180"/>
    <x v="106"/>
    <s v="CUST036"/>
    <s v="Nancy Collins"/>
    <s v="P009"/>
    <s v="Monitor"/>
    <x v="0"/>
    <n v="2"/>
    <n v="249.99"/>
    <s v="Credit Card"/>
    <x v="0"/>
    <s v="Premium"/>
    <d v="2021-07-19T00:00:00"/>
    <n v="499.98"/>
  </r>
  <r>
    <s v="TRX0082"/>
    <x v="106"/>
    <s v="CUST005"/>
    <s v="James Johnson"/>
    <s v="P005"/>
    <s v="Blender"/>
    <x v="1"/>
    <n v="3"/>
    <n v="59.99"/>
    <s v="Cash"/>
    <x v="0"/>
    <s v="Premium"/>
    <d v="2023-05-06T00:00:00"/>
    <n v="179.97"/>
  </r>
  <r>
    <s v="TRX0036"/>
    <x v="106"/>
    <s v="CUST008"/>
    <s v="Jennifer Taylor"/>
    <s v="P004"/>
    <s v="Coffee Maker"/>
    <x v="1"/>
    <n v="4"/>
    <n v="79.989999999999995"/>
    <s v="Debit Card"/>
    <x v="4"/>
    <s v="Standard"/>
    <d v="2022-12-26T00:00:00"/>
    <n v="319.95999999999998"/>
  </r>
  <r>
    <s v="TRX0198"/>
    <x v="107"/>
    <s v="CUST030"/>
    <s v="Helen Roberts"/>
    <s v="P004"/>
    <s v="Coffee Maker"/>
    <x v="1"/>
    <n v="3"/>
    <n v="79.989999999999995"/>
    <s v="Debit Card"/>
    <x v="4"/>
    <s v="Standard"/>
    <d v="2022-08-06T00:00:00"/>
    <n v="239.96999999999997"/>
  </r>
  <r>
    <s v="TRX0032"/>
    <x v="108"/>
    <s v="CUST041"/>
    <s v="Peter Richardson"/>
    <s v="P001"/>
    <s v="Laptop"/>
    <x v="0"/>
    <n v="2"/>
    <n v="899.99"/>
    <s v="Cash"/>
    <x v="2"/>
    <s v="Basic"/>
    <d v="2021-07-29T00:00:00"/>
    <n v="1799.98"/>
  </r>
  <r>
    <s v="TRX0081"/>
    <x v="109"/>
    <s v="CUST007"/>
    <s v="David Martinez"/>
    <s v="P008"/>
    <s v="Bookshelf"/>
    <x v="2"/>
    <n v="1"/>
    <n v="149.99"/>
    <s v="Debit Card"/>
    <x v="4"/>
    <s v="Standard"/>
    <d v="2023-10-01T00:00:00"/>
    <n v="149.99"/>
  </r>
  <r>
    <s v="TRX0224"/>
    <x v="109"/>
    <s v="CUST031"/>
    <s v="Steven Turner"/>
    <s v="P007"/>
    <s v="Desk"/>
    <x v="2"/>
    <n v="2"/>
    <n v="299.99"/>
    <s v="Cash"/>
    <x v="4"/>
    <s v="Premium"/>
    <d v="2022-06-12T00:00:00"/>
    <n v="599.98"/>
  </r>
  <r>
    <s v="TRX0028"/>
    <x v="110"/>
    <s v="CUST002"/>
    <s v="Emma Wilson"/>
    <s v="P005"/>
    <s v="Blender"/>
    <x v="1"/>
    <n v="2"/>
    <n v="59.99"/>
    <s v="Cash"/>
    <x v="3"/>
    <s v="Basic"/>
    <d v="2023-09-22T00:00:00"/>
    <n v="119.98"/>
  </r>
  <r>
    <s v="TRX0183"/>
    <x v="111"/>
    <s v="CUST007"/>
    <s v="David Martinez"/>
    <s v="P010"/>
    <s v="Keyboard"/>
    <x v="0"/>
    <n v="1"/>
    <n v="89.99"/>
    <s v="Debit Card"/>
    <x v="0"/>
    <s v="Standard"/>
    <d v="2022-07-18T00:00:00"/>
    <n v="89.99"/>
  </r>
  <r>
    <s v="TRX0163"/>
    <x v="111"/>
    <s v="CUST019"/>
    <s v="Daniel King"/>
    <s v="P001"/>
    <s v="Laptop"/>
    <x v="0"/>
    <n v="5"/>
    <n v="899.99"/>
    <s v="Debit Card"/>
    <x v="4"/>
    <s v="Standard"/>
    <d v="2022-03-05T00:00:00"/>
    <n v="4499.95"/>
  </r>
  <r>
    <s v="TRX0046"/>
    <x v="112"/>
    <s v="CUST003"/>
    <s v="Michael Brown"/>
    <s v="P008"/>
    <s v="Bookshelf"/>
    <x v="2"/>
    <n v="2"/>
    <n v="149.99"/>
    <s v="Cash"/>
    <x v="1"/>
    <s v="Basic"/>
    <d v="2023-11-09T00:00:00"/>
    <n v="299.98"/>
  </r>
  <r>
    <s v="TRX0164"/>
    <x v="113"/>
    <s v="CUST014"/>
    <s v="Linda Martin"/>
    <s v="P003"/>
    <s v="Headphones"/>
    <x v="0"/>
    <n v="2"/>
    <n v="149.99"/>
    <s v="Debit Card"/>
    <x v="3"/>
    <s v="Premium"/>
    <d v="2023-12-20T00:00:00"/>
    <n v="299.98"/>
  </r>
  <r>
    <s v="TRX0008"/>
    <x v="113"/>
    <s v="CUST007"/>
    <s v="David Martinez"/>
    <s v="P008"/>
    <s v="Bookshelf"/>
    <x v="2"/>
    <n v="3"/>
    <n v="149.99"/>
    <s v="Debit Card"/>
    <x v="2"/>
    <s v="Standard"/>
    <d v="2021-11-22T00:00:00"/>
    <n v="449.97"/>
  </r>
  <r>
    <s v="TRX0171"/>
    <x v="114"/>
    <s v="CUST021"/>
    <s v="Kevin Scott"/>
    <s v="P007"/>
    <s v="Desk"/>
    <x v="2"/>
    <n v="2"/>
    <n v="299.99"/>
    <s v="PayPal"/>
    <x v="1"/>
    <s v="Basic"/>
    <d v="2022-06-09T00:00:00"/>
    <n v="599.98"/>
  </r>
  <r>
    <s v="TRX0143"/>
    <x v="115"/>
    <s v="CUST003"/>
    <s v="Michael Brown"/>
    <s v="P007"/>
    <s v="Desk"/>
    <x v="2"/>
    <n v="2"/>
    <n v="299.99"/>
    <s v="Cash"/>
    <x v="3"/>
    <s v="Basic"/>
    <d v="2022-07-29T00:00:00"/>
    <n v="599.98"/>
  </r>
  <r>
    <s v="TRX0165"/>
    <x v="115"/>
    <s v="CUST030"/>
    <s v="Helen Roberts"/>
    <s v="P006"/>
    <s v="Office Chair"/>
    <x v="2"/>
    <n v="4"/>
    <n v="199.99"/>
    <s v="Credit Card"/>
    <x v="0"/>
    <s v="Basic"/>
    <d v="2021-11-23T00:00:00"/>
    <n v="799.96"/>
  </r>
  <r>
    <s v="TRX0156"/>
    <x v="116"/>
    <s v="CUST009"/>
    <s v="Robert Thomas"/>
    <s v="P010"/>
    <s v="Keyboard"/>
    <x v="0"/>
    <n v="1"/>
    <n v="89.99"/>
    <s v="Credit Card"/>
    <x v="1"/>
    <s v="Premium"/>
    <d v="2022-01-30T00:00:00"/>
    <n v="89.99"/>
  </r>
  <r>
    <s v="TRX0147"/>
    <x v="116"/>
    <s v="CUST036"/>
    <s v="Nancy Collins"/>
    <s v="P008"/>
    <s v="Bookshelf"/>
    <x v="2"/>
    <n v="5"/>
    <n v="149.99"/>
    <s v="Cash"/>
    <x v="0"/>
    <s v="Premium"/>
    <d v="2024-02-25T00:00:00"/>
    <n v="749.95"/>
  </r>
  <r>
    <s v="TRX0207"/>
    <x v="117"/>
    <s v="CUST025"/>
    <s v="Mark Carter"/>
    <s v="P001"/>
    <s v="Laptop"/>
    <x v="0"/>
    <n v="1"/>
    <n v="899.99"/>
    <s v="PayPal"/>
    <x v="2"/>
    <s v="Premium"/>
    <d v="2023-05-04T00:00:00"/>
    <n v="899.99"/>
  </r>
  <r>
    <s v="TRX0056"/>
    <x v="118"/>
    <s v="CUST019"/>
    <s v="Daniel King"/>
    <s v="P010"/>
    <s v="Keyboard"/>
    <x v="0"/>
    <n v="2"/>
    <n v="89.99"/>
    <s v="Credit Card"/>
    <x v="1"/>
    <s v="Premium"/>
    <d v="2022-01-03T00:00:00"/>
    <n v="179.98"/>
  </r>
  <r>
    <s v="TRX0026"/>
    <x v="119"/>
    <s v="CUST037"/>
    <s v="Arthur Edwards"/>
    <s v="P001"/>
    <s v="Laptop"/>
    <x v="0"/>
    <n v="1"/>
    <n v="899.99"/>
    <s v="PayPal"/>
    <x v="2"/>
    <s v="Standard"/>
    <d v="2022-07-10T00:00:00"/>
    <n v="899.99"/>
  </r>
  <r>
    <s v="TRX0237"/>
    <x v="120"/>
    <s v="CUST006"/>
    <s v="Lisa Anderson"/>
    <s v="P003"/>
    <s v="Headphones"/>
    <x v="0"/>
    <n v="5"/>
    <n v="149.99"/>
    <s v="PayPal"/>
    <x v="4"/>
    <s v="Premium"/>
    <d v="2022-09-20T00:00:00"/>
    <n v="749.95"/>
  </r>
  <r>
    <s v="TRX0091"/>
    <x v="120"/>
    <s v="CUST003"/>
    <s v="Michael Brown"/>
    <s v="P007"/>
    <s v="Desk"/>
    <x v="2"/>
    <n v="3"/>
    <n v="299.99"/>
    <s v="Cash"/>
    <x v="1"/>
    <s v="Standard"/>
    <d v="2021-08-14T00:00:00"/>
    <n v="899.97"/>
  </r>
  <r>
    <s v="TRX0125"/>
    <x v="121"/>
    <s v="CUST026"/>
    <s v="Karen Hill"/>
    <s v="P002"/>
    <s v="Smartphone"/>
    <x v="0"/>
    <n v="3"/>
    <n v="699.99"/>
    <s v="Credit Card"/>
    <x v="0"/>
    <s v="Premium"/>
    <d v="2023-06-28T00:00:00"/>
    <n v="2099.9700000000003"/>
  </r>
  <r>
    <s v="TRX0223"/>
    <x v="122"/>
    <s v="CUST036"/>
    <s v="Nancy Collins"/>
    <s v="P006"/>
    <s v="Office Chair"/>
    <x v="2"/>
    <n v="5"/>
    <n v="199.99"/>
    <s v="PayPal"/>
    <x v="0"/>
    <s v="Standard"/>
    <d v="2022-03-13T00:00:00"/>
    <n v="999.95"/>
  </r>
  <r>
    <s v="TRX0243"/>
    <x v="122"/>
    <s v="CUST048"/>
    <s v="Virginia Sanders"/>
    <s v="P009"/>
    <s v="Monitor"/>
    <x v="0"/>
    <n v="5"/>
    <n v="249.99"/>
    <s v="Credit Card"/>
    <x v="1"/>
    <s v="Basic"/>
    <d v="2024-02-08T00:00:00"/>
    <n v="1249.95"/>
  </r>
  <r>
    <s v="TRX0084"/>
    <x v="123"/>
    <s v="CUST031"/>
    <s v="Steven Turner"/>
    <s v="P003"/>
    <s v="Headphones"/>
    <x v="0"/>
    <n v="4"/>
    <n v="149.99"/>
    <s v="Debit Card"/>
    <x v="4"/>
    <s v="Standard"/>
    <d v="2021-12-06T00:00:00"/>
    <n v="599.96"/>
  </r>
  <r>
    <s v="TRX0238"/>
    <x v="123"/>
    <s v="CUST038"/>
    <s v="Michelle Rogers"/>
    <s v="P002"/>
    <s v="Smartphone"/>
    <x v="0"/>
    <n v="3"/>
    <n v="699.99"/>
    <s v="Cash"/>
    <x v="2"/>
    <s v="Premium"/>
    <d v="2022-02-10T00:00:00"/>
    <n v="2099.9700000000003"/>
  </r>
  <r>
    <s v="TRX0102"/>
    <x v="124"/>
    <s v="CUST045"/>
    <s v="Douglas Watson"/>
    <s v="P004"/>
    <s v="Coffee Maker"/>
    <x v="1"/>
    <n v="1"/>
    <n v="79.989999999999995"/>
    <s v="Credit Card"/>
    <x v="1"/>
    <s v="Basic"/>
    <d v="2024-01-31T00:00:00"/>
    <n v="79.989999999999995"/>
  </r>
  <r>
    <s v="TRX0022"/>
    <x v="124"/>
    <s v="CUST025"/>
    <s v="Mark Carter"/>
    <s v="P007"/>
    <s v="Desk"/>
    <x v="2"/>
    <n v="1"/>
    <n v="299.99"/>
    <s v="Credit Card"/>
    <x v="2"/>
    <s v="Basic"/>
    <d v="2021-08-28T00:00:00"/>
    <n v="299.99"/>
  </r>
  <r>
    <s v="TRX0087"/>
    <x v="125"/>
    <s v="CUST028"/>
    <s v="Betty Campbell"/>
    <s v="P009"/>
    <s v="Monitor"/>
    <x v="0"/>
    <n v="4"/>
    <n v="249.99"/>
    <s v="Credit Card"/>
    <x v="2"/>
    <s v="Premium"/>
    <d v="2021-09-21T00:00:00"/>
    <n v="999.96"/>
  </r>
  <r>
    <s v="TRX0107"/>
    <x v="125"/>
    <s v="CUST030"/>
    <s v="Helen Roberts"/>
    <s v="P003"/>
    <s v="Headphones"/>
    <x v="0"/>
    <n v="2"/>
    <n v="149.99"/>
    <s v="Cash"/>
    <x v="2"/>
    <s v="Standard"/>
    <d v="2022-12-18T00:00:00"/>
    <n v="299.98"/>
  </r>
  <r>
    <s v="TRX0051"/>
    <x v="125"/>
    <s v="CUST032"/>
    <s v="Sandra Phillips"/>
    <s v="P007"/>
    <s v="Desk"/>
    <x v="2"/>
    <n v="3"/>
    <n v="299.99"/>
    <s v="Credit Card"/>
    <x v="1"/>
    <s v="Basic"/>
    <d v="2023-10-05T00:00:00"/>
    <n v="899.97"/>
  </r>
  <r>
    <s v="TRX0106"/>
    <x v="126"/>
    <s v="CUST039"/>
    <s v="Lawrence Reed"/>
    <s v="P006"/>
    <s v="Office Chair"/>
    <x v="2"/>
    <n v="4"/>
    <n v="199.99"/>
    <s v="Debit Card"/>
    <x v="1"/>
    <s v="Standard"/>
    <d v="2021-12-14T00:00:00"/>
    <n v="799.96"/>
  </r>
  <r>
    <s v="TRX0059"/>
    <x v="126"/>
    <s v="CUST016"/>
    <s v="Elizabeth Hall"/>
    <s v="P007"/>
    <s v="Desk"/>
    <x v="2"/>
    <n v="5"/>
    <n v="299.99"/>
    <s v="Debit Card"/>
    <x v="0"/>
    <s v="Basic"/>
    <d v="2021-08-23T00:00:00"/>
    <n v="1499.95"/>
  </r>
  <r>
    <s v="TRX0072"/>
    <x v="126"/>
    <s v="CUST009"/>
    <s v="Robert Thomas"/>
    <s v="P008"/>
    <s v="Bookshelf"/>
    <x v="2"/>
    <n v="3"/>
    <n v="149.99"/>
    <s v="Credit Card"/>
    <x v="4"/>
    <s v="Standard"/>
    <d v="2021-07-18T00:00:00"/>
    <n v="449.97"/>
  </r>
  <r>
    <s v="TRX0110"/>
    <x v="127"/>
    <s v="CUST006"/>
    <s v="Lisa Anderson"/>
    <s v="P005"/>
    <s v="Blender"/>
    <x v="1"/>
    <n v="5"/>
    <n v="59.99"/>
    <s v="Debit Card"/>
    <x v="4"/>
    <s v="Basic"/>
    <d v="2022-03-22T00:00:00"/>
    <n v="299.95"/>
  </r>
  <r>
    <s v="TRX0126"/>
    <x v="128"/>
    <s v="CUST022"/>
    <s v="Susan Green"/>
    <s v="P005"/>
    <s v="Blender"/>
    <x v="1"/>
    <n v="4"/>
    <n v="59.99"/>
    <s v="Debit Card"/>
    <x v="4"/>
    <s v="Standard"/>
    <d v="2022-01-03T00:00:00"/>
    <n v="239.96"/>
  </r>
  <r>
    <s v="TRX0159"/>
    <x v="129"/>
    <s v="CUST024"/>
    <s v="Dorothy Nelson"/>
    <s v="P009"/>
    <s v="Monitor"/>
    <x v="0"/>
    <n v="4"/>
    <n v="249.99"/>
    <s v="Debit Card"/>
    <x v="0"/>
    <s v="Premium"/>
    <d v="2023-10-18T00:00:00"/>
    <n v="999.96"/>
  </r>
  <r>
    <s v="TRX0030"/>
    <x v="130"/>
    <s v="CUST011"/>
    <s v="William White"/>
    <s v="P001"/>
    <s v="Laptop"/>
    <x v="0"/>
    <n v="4"/>
    <n v="899.99"/>
    <s v="PayPal"/>
    <x v="0"/>
    <s v="Basic"/>
    <d v="2022-06-22T00:00:00"/>
    <n v="3599.96"/>
  </r>
  <r>
    <s v="TRX0178"/>
    <x v="130"/>
    <s v="CUST025"/>
    <s v="Mark Carter"/>
    <s v="P007"/>
    <s v="Desk"/>
    <x v="2"/>
    <n v="3"/>
    <n v="299.99"/>
    <s v="Debit Card"/>
    <x v="3"/>
    <s v="Standard"/>
    <d v="2023-01-26T00:00:00"/>
    <n v="899.97"/>
  </r>
  <r>
    <s v="TRX0188"/>
    <x v="130"/>
    <s v="CUST045"/>
    <s v="Douglas Watson"/>
    <s v="P002"/>
    <s v="Smartphone"/>
    <x v="0"/>
    <n v="2"/>
    <n v="699.99"/>
    <s v="Debit Card"/>
    <x v="0"/>
    <s v="Premium"/>
    <d v="2022-04-30T00:00:00"/>
    <n v="1399.98"/>
  </r>
  <r>
    <s v="TRX0010"/>
    <x v="131"/>
    <s v="CUST026"/>
    <s v="Karen Hill"/>
    <s v="P002"/>
    <s v="Smartphone"/>
    <x v="0"/>
    <n v="4"/>
    <n v="699.99"/>
    <s v="Debit Card"/>
    <x v="3"/>
    <s v="Premium"/>
    <d v="2022-05-11T00:00:00"/>
    <n v="2799.96"/>
  </r>
  <r>
    <s v="TRX0069"/>
    <x v="131"/>
    <s v="CUST029"/>
    <s v="Edward Mitchell"/>
    <s v="P010"/>
    <s v="Keyboard"/>
    <x v="0"/>
    <n v="2"/>
    <n v="89.99"/>
    <s v="Debit Card"/>
    <x v="1"/>
    <s v="Basic"/>
    <d v="2022-08-04T00:00:00"/>
    <n v="179.98"/>
  </r>
  <r>
    <s v="TRX0166"/>
    <x v="131"/>
    <s v="CUST003"/>
    <s v="Michael Brown"/>
    <s v="P010"/>
    <s v="Keyboard"/>
    <x v="0"/>
    <n v="3"/>
    <n v="89.99"/>
    <s v="Debit Card"/>
    <x v="1"/>
    <s v="Premium"/>
    <d v="2024-01-16T00:00:00"/>
    <n v="269.96999999999997"/>
  </r>
  <r>
    <s v="TRX0219"/>
    <x v="132"/>
    <s v="CUST037"/>
    <s v="Arthur Edwards"/>
    <s v="P005"/>
    <s v="Blender"/>
    <x v="1"/>
    <n v="1"/>
    <n v="59.99"/>
    <s v="Debit Card"/>
    <x v="0"/>
    <s v="Standard"/>
    <d v="2023-04-29T00:00:00"/>
    <n v="59.99"/>
  </r>
  <r>
    <s v="TRX0024"/>
    <x v="133"/>
    <s v="CUST042"/>
    <s v="Ruth Brooks"/>
    <s v="P008"/>
    <s v="Bookshelf"/>
    <x v="2"/>
    <n v="3"/>
    <n v="149.99"/>
    <s v="Debit Card"/>
    <x v="2"/>
    <s v="Premium"/>
    <d v="2022-01-03T00:00:00"/>
    <n v="449.97"/>
  </r>
  <r>
    <s v="TRX0105"/>
    <x v="133"/>
    <s v="CUST048"/>
    <s v="Virginia Sanders"/>
    <s v="P007"/>
    <s v="Desk"/>
    <x v="2"/>
    <n v="5"/>
    <n v="299.99"/>
    <s v="Credit Card"/>
    <x v="1"/>
    <s v="Basic"/>
    <d v="2023-02-02T00:00:00"/>
    <n v="1499.95"/>
  </r>
  <r>
    <s v="TRX0011"/>
    <x v="134"/>
    <s v="CUST040"/>
    <s v="Sharon Butler"/>
    <s v="P005"/>
    <s v="Blender"/>
    <x v="1"/>
    <n v="5"/>
    <n v="59.99"/>
    <s v="Debit Card"/>
    <x v="0"/>
    <s v="Standard"/>
    <d v="2023-09-08T00:00:00"/>
    <n v="299.95"/>
  </r>
  <r>
    <s v="TRX0187"/>
    <x v="135"/>
    <s v="CUST036"/>
    <s v="Nancy Collins"/>
    <s v="P004"/>
    <s v="Coffee Maker"/>
    <x v="1"/>
    <n v="3"/>
    <n v="79.989999999999995"/>
    <s v="Cash"/>
    <x v="4"/>
    <s v="Premium"/>
    <d v="2021-08-28T00:00:00"/>
    <n v="239.96999999999997"/>
  </r>
  <r>
    <s v="TRX0089"/>
    <x v="136"/>
    <s v="CUST021"/>
    <s v="Kevin Scott"/>
    <s v="P006"/>
    <s v="Office Chair"/>
    <x v="2"/>
    <n v="3"/>
    <n v="199.99"/>
    <s v="Cash"/>
    <x v="0"/>
    <s v="Basic"/>
    <d v="2022-06-23T00:00:00"/>
    <n v="599.97"/>
  </r>
  <r>
    <s v="TRX0196"/>
    <x v="136"/>
    <s v="CUST023"/>
    <s v="Paul Baker"/>
    <s v="P010"/>
    <s v="Keyboard"/>
    <x v="0"/>
    <n v="2"/>
    <n v="89.99"/>
    <s v="PayPal"/>
    <x v="0"/>
    <s v="Basic"/>
    <d v="2023-11-27T00:00:00"/>
    <n v="179.98"/>
  </r>
  <r>
    <s v="TRX0118"/>
    <x v="137"/>
    <s v="CUST015"/>
    <s v="Richard Lee"/>
    <s v="P008"/>
    <s v="Bookshelf"/>
    <x v="2"/>
    <n v="2"/>
    <n v="149.99"/>
    <s v="Cash"/>
    <x v="1"/>
    <s v="Premium"/>
    <d v="2022-06-16T00:00:00"/>
    <n v="299.98"/>
  </r>
  <r>
    <s v="TRX0179"/>
    <x v="138"/>
    <s v="CUST029"/>
    <s v="Edward Mitchell"/>
    <s v="P002"/>
    <s v="Smartphone"/>
    <x v="0"/>
    <n v="5"/>
    <n v="699.99"/>
    <s v="PayPal"/>
    <x v="1"/>
    <s v="Premium"/>
    <d v="2024-03-01T00:00:00"/>
    <n v="3499.95"/>
  </r>
  <r>
    <s v="TRX0168"/>
    <x v="138"/>
    <s v="CUST003"/>
    <s v="Michael Brown"/>
    <s v="P008"/>
    <s v="Bookshelf"/>
    <x v="2"/>
    <n v="3"/>
    <n v="149.99"/>
    <s v="PayPal"/>
    <x v="0"/>
    <s v="Standard"/>
    <d v="2022-03-13T00:00:00"/>
    <n v="449.97"/>
  </r>
  <r>
    <s v="TRX0214"/>
    <x v="139"/>
    <s v="CUST018"/>
    <s v="Barbara Young"/>
    <s v="P001"/>
    <s v="Laptop"/>
    <x v="0"/>
    <n v="3"/>
    <n v="899.99"/>
    <s v="Cash"/>
    <x v="4"/>
    <s v="Standard"/>
    <d v="2022-02-21T00:00:00"/>
    <n v="2699.9700000000003"/>
  </r>
  <r>
    <s v="TRX0221"/>
    <x v="139"/>
    <s v="CUST033"/>
    <s v="Frank Torres"/>
    <s v="P006"/>
    <s v="Office Chair"/>
    <x v="2"/>
    <n v="3"/>
    <n v="199.99"/>
    <s v="Cash"/>
    <x v="3"/>
    <s v="Premium"/>
    <d v="2022-09-19T00:00:00"/>
    <n v="599.97"/>
  </r>
  <r>
    <s v="TRX0083"/>
    <x v="140"/>
    <s v="CUST017"/>
    <s v="Charles Allen"/>
    <s v="P007"/>
    <s v="Desk"/>
    <x v="2"/>
    <n v="5"/>
    <n v="299.99"/>
    <s v="Cash"/>
    <x v="3"/>
    <s v="Standard"/>
    <d v="2023-08-04T00:00:00"/>
    <n v="1499.95"/>
  </r>
  <r>
    <s v="TRX0151"/>
    <x v="140"/>
    <s v="CUST040"/>
    <s v="Sharon Butler"/>
    <s v="P002"/>
    <s v="Smartphone"/>
    <x v="0"/>
    <n v="1"/>
    <n v="699.99"/>
    <s v="PayPal"/>
    <x v="3"/>
    <s v="Basic"/>
    <d v="2023-01-08T00:00:00"/>
    <n v="699.99"/>
  </r>
  <r>
    <s v="TRX0047"/>
    <x v="141"/>
    <s v="CUST042"/>
    <s v="Ruth Brooks"/>
    <s v="P002"/>
    <s v="Smartphone"/>
    <x v="0"/>
    <n v="1"/>
    <n v="699.99"/>
    <s v="Cash"/>
    <x v="2"/>
    <s v="Premium"/>
    <d v="2022-01-22T00:00:00"/>
    <n v="699.99"/>
  </r>
  <r>
    <s v="TRX0200"/>
    <x v="141"/>
    <s v="CUST037"/>
    <s v="Arthur Edwards"/>
    <s v="P008"/>
    <s v="Bookshelf"/>
    <x v="2"/>
    <n v="4"/>
    <n v="149.99"/>
    <s v="PayPal"/>
    <x v="2"/>
    <s v="Premium"/>
    <d v="2021-08-04T00:00:00"/>
    <n v="599.96"/>
  </r>
  <r>
    <s v="TRX0062"/>
    <x v="141"/>
    <s v="CUST016"/>
    <s v="Elizabeth Hall"/>
    <s v="P010"/>
    <s v="Keyboard"/>
    <x v="0"/>
    <n v="5"/>
    <n v="89.99"/>
    <s v="PayPal"/>
    <x v="3"/>
    <s v="Premium"/>
    <d v="2023-08-02T00:00:00"/>
    <n v="449.95"/>
  </r>
  <r>
    <s v="TRX0182"/>
    <x v="142"/>
    <s v="CUST031"/>
    <s v="Steven Turner"/>
    <s v="P006"/>
    <s v="Office Chair"/>
    <x v="2"/>
    <n v="2"/>
    <n v="199.99"/>
    <s v="Cash"/>
    <x v="0"/>
    <s v="Premium"/>
    <d v="2022-01-12T00:00:00"/>
    <n v="399.98"/>
  </r>
  <r>
    <s v="TRX0229"/>
    <x v="143"/>
    <s v="CUST015"/>
    <s v="Richard Lee"/>
    <s v="P005"/>
    <s v="Blender"/>
    <x v="1"/>
    <n v="4"/>
    <n v="59.99"/>
    <s v="Cash"/>
    <x v="3"/>
    <s v="Standard"/>
    <d v="2023-05-24T00:00:00"/>
    <n v="239.96"/>
  </r>
  <r>
    <s v="TRX0048"/>
    <x v="143"/>
    <s v="CUST048"/>
    <s v="Virginia Sanders"/>
    <s v="P007"/>
    <s v="Desk"/>
    <x v="2"/>
    <n v="2"/>
    <n v="299.99"/>
    <s v="PayPal"/>
    <x v="1"/>
    <s v="Basic"/>
    <d v="2022-01-15T00:00:00"/>
    <n v="599.98"/>
  </r>
  <r>
    <s v="TRX0227"/>
    <x v="144"/>
    <s v="CUST017"/>
    <s v="Charles Allen"/>
    <s v="P008"/>
    <s v="Bookshelf"/>
    <x v="2"/>
    <n v="2"/>
    <n v="149.99"/>
    <s v="Cash"/>
    <x v="0"/>
    <s v="Basic"/>
    <d v="2023-05-22T00:00:00"/>
    <n v="299.98"/>
  </r>
  <r>
    <s v="TRX0226"/>
    <x v="145"/>
    <s v="CUST039"/>
    <s v="Lawrence Reed"/>
    <s v="P002"/>
    <s v="Smartphone"/>
    <x v="0"/>
    <n v="5"/>
    <n v="699.99"/>
    <s v="Debit Card"/>
    <x v="4"/>
    <s v="Premium"/>
    <d v="2023-08-23T00:00:00"/>
    <n v="3499.95"/>
  </r>
  <r>
    <s v="TRX0053"/>
    <x v="146"/>
    <s v="CUST043"/>
    <s v="Dennis Gray"/>
    <s v="P005"/>
    <s v="Blender"/>
    <x v="1"/>
    <n v="5"/>
    <n v="59.99"/>
    <s v="Cash"/>
    <x v="3"/>
    <s v="Premium"/>
    <d v="2023-12-31T00:00:00"/>
    <n v="299.95"/>
  </r>
  <r>
    <s v="TRX0233"/>
    <x v="147"/>
    <s v="CUST023"/>
    <s v="Paul Baker"/>
    <s v="P010"/>
    <s v="Keyboard"/>
    <x v="0"/>
    <n v="2"/>
    <n v="89.99"/>
    <s v="Credit Card"/>
    <x v="3"/>
    <s v="Premium"/>
    <d v="2024-01-04T00:00:00"/>
    <n v="179.98"/>
  </r>
  <r>
    <s v="TRX0175"/>
    <x v="147"/>
    <s v="CUST030"/>
    <s v="Helen Roberts"/>
    <s v="P009"/>
    <s v="Monitor"/>
    <x v="0"/>
    <n v="5"/>
    <n v="249.99"/>
    <s v="Cash"/>
    <x v="4"/>
    <s v="Standard"/>
    <d v="2021-12-10T00:00:00"/>
    <n v="1249.95"/>
  </r>
  <r>
    <s v="TRX0186"/>
    <x v="148"/>
    <s v="CUST039"/>
    <s v="Lawrence Reed"/>
    <s v="P008"/>
    <s v="Bookshelf"/>
    <x v="2"/>
    <n v="2"/>
    <n v="149.99"/>
    <s v="PayPal"/>
    <x v="0"/>
    <s v="Premium"/>
    <d v="2022-03-12T00:00:00"/>
    <n v="299.98"/>
  </r>
  <r>
    <s v="TRX0016"/>
    <x v="148"/>
    <s v="CUST035"/>
    <s v="Harry Morgan"/>
    <s v="P001"/>
    <s v="Laptop"/>
    <x v="0"/>
    <n v="5"/>
    <n v="899.99"/>
    <s v="PayPal"/>
    <x v="4"/>
    <s v="Premium"/>
    <d v="2024-04-07T00:00:00"/>
    <n v="4499.95"/>
  </r>
  <r>
    <s v="TRX0199"/>
    <x v="148"/>
    <s v="CUST017"/>
    <s v="Charles Allen"/>
    <s v="P008"/>
    <s v="Bookshelf"/>
    <x v="2"/>
    <n v="4"/>
    <n v="149.99"/>
    <s v="Cash"/>
    <x v="0"/>
    <s v="Standard"/>
    <d v="2023-12-03T00:00:00"/>
    <n v="599.96"/>
  </r>
  <r>
    <s v="TRX0038"/>
    <x v="149"/>
    <s v="CUST035"/>
    <s v="Harry Morgan"/>
    <s v="P009"/>
    <s v="Monitor"/>
    <x v="0"/>
    <n v="1"/>
    <n v="249.99"/>
    <s v="Cash"/>
    <x v="2"/>
    <s v="Standard"/>
    <d v="2023-07-10T00:00:00"/>
    <n v="249.99"/>
  </r>
  <r>
    <s v="TRX0014"/>
    <x v="150"/>
    <s v="CUST033"/>
    <s v="Frank Torres"/>
    <s v="P005"/>
    <s v="Blender"/>
    <x v="1"/>
    <n v="2"/>
    <n v="59.99"/>
    <s v="Credit Card"/>
    <x v="3"/>
    <s v="Basic"/>
    <d v="2023-09-24T00:00:00"/>
    <n v="119.98"/>
  </r>
  <r>
    <s v="TRX0003"/>
    <x v="151"/>
    <s v="CUST002"/>
    <s v="Emma Wilson"/>
    <s v="P008"/>
    <s v="Bookshelf"/>
    <x v="2"/>
    <n v="2"/>
    <n v="149.99"/>
    <s v="Cash"/>
    <x v="3"/>
    <s v="Premium"/>
    <d v="2023-11-03T00:00:00"/>
    <n v="299.98"/>
  </r>
  <r>
    <s v="TRX0124"/>
    <x v="151"/>
    <s v="CUST040"/>
    <s v="Sharon Butler"/>
    <s v="P001"/>
    <s v="Laptop"/>
    <x v="0"/>
    <n v="3"/>
    <n v="899.99"/>
    <s v="Debit Card"/>
    <x v="2"/>
    <s v="Premium"/>
    <d v="2022-11-11T00:00:00"/>
    <n v="2699.9700000000003"/>
  </r>
  <r>
    <s v="TRX0013"/>
    <x v="151"/>
    <s v="CUST024"/>
    <s v="Dorothy Nelson"/>
    <s v="P001"/>
    <s v="Laptop"/>
    <x v="0"/>
    <n v="3"/>
    <n v="899.99"/>
    <s v="PayPal"/>
    <x v="2"/>
    <s v="Basic"/>
    <d v="2023-02-18T00:00:00"/>
    <n v="2699.9700000000003"/>
  </r>
  <r>
    <s v="TRX0019"/>
    <x v="152"/>
    <s v="CUST023"/>
    <s v="Paul Baker"/>
    <s v="P007"/>
    <s v="Desk"/>
    <x v="2"/>
    <n v="3"/>
    <n v="299.99"/>
    <s v="Credit Card"/>
    <x v="3"/>
    <s v="Premium"/>
    <d v="2023-11-04T00:00:00"/>
    <n v="899.97"/>
  </r>
  <r>
    <s v="TRX0050"/>
    <x v="153"/>
    <s v="CUST001"/>
    <s v="John Smith"/>
    <s v="P008"/>
    <s v="Bookshelf"/>
    <x v="2"/>
    <n v="4"/>
    <n v="149.99"/>
    <s v="PayPal"/>
    <x v="3"/>
    <s v="Standard"/>
    <d v="2021-12-30T00:00:00"/>
    <n v="599.96"/>
  </r>
  <r>
    <s v="TRX0152"/>
    <x v="154"/>
    <s v="CUST044"/>
    <s v="Cynthia Price"/>
    <s v="P004"/>
    <s v="Coffee Maker"/>
    <x v="1"/>
    <n v="4"/>
    <n v="79.989999999999995"/>
    <s v="Credit Card"/>
    <x v="0"/>
    <s v="Basic"/>
    <d v="2023-12-28T00:00:00"/>
    <n v="319.95999999999998"/>
  </r>
  <r>
    <s v="TRX0213"/>
    <x v="155"/>
    <s v="CUST020"/>
    <s v="Margaret Wright"/>
    <s v="P010"/>
    <s v="Keyboard"/>
    <x v="0"/>
    <n v="5"/>
    <n v="89.99"/>
    <s v="PayPal"/>
    <x v="1"/>
    <s v="Basic"/>
    <d v="2022-05-23T00:00:00"/>
    <n v="449.95"/>
  </r>
  <r>
    <s v="TRX0197"/>
    <x v="156"/>
    <s v="CUST048"/>
    <s v="Virginia Sanders"/>
    <s v="P008"/>
    <s v="Bookshelf"/>
    <x v="2"/>
    <n v="3"/>
    <n v="149.99"/>
    <s v="PayPal"/>
    <x v="0"/>
    <s v="Standard"/>
    <d v="2023-09-02T00:00:00"/>
    <n v="449.97"/>
  </r>
  <r>
    <s v="TRX0250"/>
    <x v="156"/>
    <s v="CUST026"/>
    <s v="Karen Hill"/>
    <s v="P010"/>
    <s v="Keyboard"/>
    <x v="0"/>
    <n v="2"/>
    <n v="89.99"/>
    <s v="Debit Card"/>
    <x v="3"/>
    <s v="Premium"/>
    <d v="2021-11-22T00:00:00"/>
    <n v="179.98"/>
  </r>
  <r>
    <s v="TRX0068"/>
    <x v="157"/>
    <s v="CUST044"/>
    <s v="Cynthia Price"/>
    <s v="P002"/>
    <s v="Smartphone"/>
    <x v="0"/>
    <n v="2"/>
    <n v="699.99"/>
    <s v="PayPal"/>
    <x v="2"/>
    <s v="Standard"/>
    <d v="2022-02-26T00:00:00"/>
    <n v="1399.98"/>
  </r>
  <r>
    <s v="TRX0144"/>
    <x v="158"/>
    <s v="CUST029"/>
    <s v="Edward Mitchell"/>
    <s v="P001"/>
    <s v="Laptop"/>
    <x v="0"/>
    <n v="3"/>
    <n v="899.99"/>
    <s v="Cash"/>
    <x v="0"/>
    <s v="Standard"/>
    <d v="2023-01-27T00:00:00"/>
    <n v="2699.9700000000003"/>
  </r>
  <r>
    <s v="TRX0039"/>
    <x v="159"/>
    <s v="CUST048"/>
    <s v="Virginia Sanders"/>
    <s v="P004"/>
    <s v="Coffee Maker"/>
    <x v="1"/>
    <n v="3"/>
    <n v="79.989999999999995"/>
    <s v="Credit Card"/>
    <x v="2"/>
    <s v="Basic"/>
    <d v="2021-11-11T00:00:00"/>
    <n v="239.96999999999997"/>
  </r>
  <r>
    <s v="TRX0116"/>
    <x v="160"/>
    <s v="CUST009"/>
    <s v="Robert Thomas"/>
    <s v="P010"/>
    <s v="Keyboard"/>
    <x v="0"/>
    <n v="1"/>
    <n v="89.99"/>
    <s v="Debit Card"/>
    <x v="4"/>
    <s v="Basic"/>
    <d v="2024-02-24T00:00:00"/>
    <n v="89.99"/>
  </r>
  <r>
    <s v="TRX0120"/>
    <x v="161"/>
    <s v="CUST045"/>
    <s v="Douglas Watson"/>
    <s v="P002"/>
    <s v="Smartphone"/>
    <x v="0"/>
    <n v="3"/>
    <n v="699.99"/>
    <s v="PayPal"/>
    <x v="2"/>
    <s v="Basic"/>
    <d v="2022-12-14T00:00:00"/>
    <n v="2099.9700000000003"/>
  </r>
  <r>
    <s v="TRX0103"/>
    <x v="161"/>
    <s v="CUST039"/>
    <s v="Lawrence Reed"/>
    <s v="P010"/>
    <s v="Keyboard"/>
    <x v="0"/>
    <n v="2"/>
    <n v="89.99"/>
    <s v="Debit Card"/>
    <x v="4"/>
    <s v="Basic"/>
    <d v="2023-06-11T00:00:00"/>
    <n v="179.98"/>
  </r>
  <r>
    <s v="TRX0064"/>
    <x v="161"/>
    <s v="CUST031"/>
    <s v="Steven Turner"/>
    <s v="P010"/>
    <s v="Keyboard"/>
    <x v="0"/>
    <n v="3"/>
    <n v="89.99"/>
    <s v="Debit Card"/>
    <x v="2"/>
    <s v="Premium"/>
    <d v="2022-11-13T00:00:00"/>
    <n v="269.96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CC139-EB25-4FB1-9E1C-A7B819959A0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9"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1" showAll="0"/>
    <pivotField numFmtId="165" showAll="0"/>
    <pivotField showAll="0"/>
    <pivotField axis="axisRow" showAll="0">
      <items count="6">
        <item x="0"/>
        <item x="4"/>
        <item x="2"/>
        <item x="1"/>
        <item x="3"/>
        <item t="default"/>
      </items>
    </pivotField>
    <pivotField showAll="0"/>
    <pivotField numFmtId="164" showAll="0"/>
    <pivotField dataField="1" numFmtId="165" showAll="0"/>
    <pivotField showAll="0"/>
    <pivotField numFmtId="14" showAll="0"/>
    <pivotField numFmtId="22" showAll="0"/>
    <pivotField numFmtId="164" showAll="0"/>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Sum of Total_Amount" fld="13" baseField="0" baseItem="0"/>
  </dataFields>
  <formats count="12">
    <format dxfId="48">
      <pivotArea type="all" dataOnly="0" outline="0" fieldPosition="0"/>
    </format>
    <format dxfId="47">
      <pivotArea outline="0" collapsedLevelsAreSubtotals="1" fieldPosition="0"/>
    </format>
    <format dxfId="46">
      <pivotArea field="10" type="button" dataOnly="0" labelOnly="1" outline="0" axis="axisRow" fieldPosition="0"/>
    </format>
    <format dxfId="45">
      <pivotArea dataOnly="0" labelOnly="1" fieldPosition="0">
        <references count="1">
          <reference field="10"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10" type="button" dataOnly="0" labelOnly="1" outline="0" axis="axisRow" fieldPosition="0"/>
    </format>
    <format dxfId="39">
      <pivotArea dataOnly="0" labelOnly="1" fieldPosition="0">
        <references count="1">
          <reference field="10" count="0"/>
        </references>
      </pivotArea>
    </format>
    <format dxfId="38">
      <pivotArea dataOnly="0" labelOnly="1" grandRow="1" outline="0" fieldPosition="0"/>
    </format>
    <format dxfId="3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566B22-6875-47D8-990D-3D38D25B444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6:B39"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1" showAll="0"/>
    <pivotField numFmtId="165" showAll="0"/>
    <pivotField showAll="0"/>
    <pivotField showAll="0">
      <items count="6">
        <item x="0"/>
        <item x="4"/>
        <item x="2"/>
        <item x="1"/>
        <item x="3"/>
        <item t="default"/>
      </items>
    </pivotField>
    <pivotField showAll="0"/>
    <pivotField numFmtId="164" showAll="0"/>
    <pivotField dataField="1" numFmtId="165" showAll="0"/>
    <pivotField showAll="0"/>
    <pivotField numFmtId="14" showAll="0"/>
    <pivotField numFmtId="22" showAll="0"/>
    <pivotField numFmtId="164" showAll="0"/>
    <pivotField axis="axisRow" showAll="0">
      <items count="15">
        <item x="0"/>
        <item x="1"/>
        <item x="2"/>
        <item x="3"/>
        <item x="4"/>
        <item x="5"/>
        <item x="6"/>
        <item x="7"/>
        <item x="8"/>
        <item x="9"/>
        <item x="10"/>
        <item x="11"/>
        <item x="12"/>
        <item x="1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_Amount" fld="13" baseField="0" baseItem="0"/>
  </dataFields>
  <formats count="8">
    <format dxfId="56">
      <pivotArea type="all" dataOnly="0" outline="0" fieldPosition="0"/>
    </format>
    <format dxfId="55">
      <pivotArea outline="0" collapsedLevelsAreSubtotals="1" fieldPosition="0"/>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dataOnly="0" labelOnly="1" grandRow="1" outline="0" fieldPosition="0"/>
    </format>
    <format dxfId="4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082284-7CC5-4FD7-830C-3D93BFC49490}"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2:B23" firstHeaderRow="1" firstDataRow="1" firstDataCol="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numFmtId="1" showAll="0"/>
    <pivotField numFmtId="165" showAll="0"/>
    <pivotField showAll="0"/>
    <pivotField showAll="0">
      <items count="6">
        <item x="0"/>
        <item x="4"/>
        <item x="2"/>
        <item x="1"/>
        <item x="3"/>
        <item t="default"/>
      </items>
    </pivotField>
    <pivotField showAll="0"/>
    <pivotField numFmtId="164" showAll="0"/>
    <pivotField dataField="1" numFmtId="165" showAll="0"/>
    <pivotField showAll="0"/>
    <pivotField numFmtId="14" showAll="0"/>
    <pivotField numFmtId="22" showAll="0"/>
    <pivotField numFmtId="164" showAll="0"/>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formats count="12">
    <format dxfId="68">
      <pivotArea type="all" dataOnly="0" outline="0" fieldPosition="0"/>
    </format>
    <format dxfId="67">
      <pivotArea outline="0" collapsedLevelsAreSubtotals="1" fieldPosition="0"/>
    </format>
    <format dxfId="66">
      <pivotArea field="5" type="button" dataOnly="0" labelOnly="1" outline="0" axis="axisRow" fieldPosition="0"/>
    </format>
    <format dxfId="65">
      <pivotArea dataOnly="0" labelOnly="1" fieldPosition="0">
        <references count="1">
          <reference field="5"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5" type="button" dataOnly="0" labelOnly="1" outline="0" axis="axisRow" fieldPosition="0"/>
    </format>
    <format dxfId="59">
      <pivotArea dataOnly="0" labelOnly="1" fieldPosition="0">
        <references count="1">
          <reference field="5" count="0"/>
        </references>
      </pivotArea>
    </format>
    <format dxfId="58">
      <pivotArea dataOnly="0" labelOnly="1" grandRow="1" outline="0" fieldPosition="0"/>
    </format>
    <format dxfId="57">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 chart="0" format="10">
      <pivotArea type="data" outline="0" fieldPosition="0">
        <references count="2">
          <reference field="4294967294" count="1" selected="0">
            <x v="0"/>
          </reference>
          <reference field="5" count="1" selected="0">
            <x v="9"/>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5" count="1" selected="0">
            <x v="0"/>
          </reference>
        </references>
      </pivotArea>
    </chartFormat>
    <chartFormat chart="3" format="24">
      <pivotArea type="data" outline="0" fieldPosition="0">
        <references count="2">
          <reference field="4294967294" count="1" selected="0">
            <x v="0"/>
          </reference>
          <reference field="5" count="1" selected="0">
            <x v="1"/>
          </reference>
        </references>
      </pivotArea>
    </chartFormat>
    <chartFormat chart="3" format="25">
      <pivotArea type="data" outline="0" fieldPosition="0">
        <references count="2">
          <reference field="4294967294" count="1" selected="0">
            <x v="0"/>
          </reference>
          <reference field="5" count="1" selected="0">
            <x v="2"/>
          </reference>
        </references>
      </pivotArea>
    </chartFormat>
    <chartFormat chart="3" format="26">
      <pivotArea type="data" outline="0" fieldPosition="0">
        <references count="2">
          <reference field="4294967294" count="1" selected="0">
            <x v="0"/>
          </reference>
          <reference field="5" count="1" selected="0">
            <x v="3"/>
          </reference>
        </references>
      </pivotArea>
    </chartFormat>
    <chartFormat chart="3" format="27">
      <pivotArea type="data" outline="0" fieldPosition="0">
        <references count="2">
          <reference field="4294967294" count="1" selected="0">
            <x v="0"/>
          </reference>
          <reference field="5" count="1" selected="0">
            <x v="4"/>
          </reference>
        </references>
      </pivotArea>
    </chartFormat>
    <chartFormat chart="3" format="28">
      <pivotArea type="data" outline="0" fieldPosition="0">
        <references count="2">
          <reference field="4294967294" count="1" selected="0">
            <x v="0"/>
          </reference>
          <reference field="5" count="1" selected="0">
            <x v="5"/>
          </reference>
        </references>
      </pivotArea>
    </chartFormat>
    <chartFormat chart="3" format="29">
      <pivotArea type="data" outline="0" fieldPosition="0">
        <references count="2">
          <reference field="4294967294" count="1" selected="0">
            <x v="0"/>
          </reference>
          <reference field="5" count="1" selected="0">
            <x v="6"/>
          </reference>
        </references>
      </pivotArea>
    </chartFormat>
    <chartFormat chart="3" format="30">
      <pivotArea type="data" outline="0" fieldPosition="0">
        <references count="2">
          <reference field="4294967294" count="1" selected="0">
            <x v="0"/>
          </reference>
          <reference field="5" count="1" selected="0">
            <x v="7"/>
          </reference>
        </references>
      </pivotArea>
    </chartFormat>
    <chartFormat chart="3" format="31">
      <pivotArea type="data" outline="0" fieldPosition="0">
        <references count="2">
          <reference field="4294967294" count="1" selected="0">
            <x v="0"/>
          </reference>
          <reference field="5" count="1" selected="0">
            <x v="8"/>
          </reference>
        </references>
      </pivotArea>
    </chartFormat>
    <chartFormat chart="3" format="32">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62B91F-487B-4921-8137-E2236724506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7" firstHeaderRow="1" firstDataRow="1" firstDataCol="1"/>
  <pivotFields count="15">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1" showAll="0"/>
    <pivotField numFmtId="165" showAll="0"/>
    <pivotField showAll="0"/>
    <pivotField showAll="0"/>
    <pivotField showAll="0"/>
    <pivotField numFmtId="164" showAll="0"/>
    <pivotField dataField="1" numFmtId="165" showAll="0"/>
    <pivotField axis="axisRow"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s>
  <rowFields count="1">
    <field x="14"/>
  </rowFields>
  <rowItems count="54">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Sum of Total_Amount" fld="13" baseField="0" baseItem="0"/>
  </dataFields>
  <formats count="14">
    <format dxfId="13">
      <pivotArea type="all" dataOnly="0" outline="0" fieldPosition="0"/>
    </format>
    <format dxfId="12">
      <pivotArea outline="0" collapsedLevelsAreSubtotals="1" fieldPosition="0"/>
    </format>
    <format dxfId="11">
      <pivotArea field="14" type="button" dataOnly="0" labelOnly="1" outline="0" axis="axisRow" fieldPosition="0"/>
    </format>
    <format dxfId="10">
      <pivotArea dataOnly="0" labelOnly="1" fieldPosition="0">
        <references count="1">
          <reference field="14"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9">
      <pivotArea dataOnly="0" labelOnly="1" fieldPosition="0">
        <references count="1">
          <reference field="14" count="3">
            <x v="51"/>
            <x v="52"/>
            <x v="53"/>
          </reference>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4" type="button" dataOnly="0" labelOnly="1" outline="0" axis="axisRow" fieldPosition="0"/>
    </format>
    <format dxfId="3">
      <pivotArea dataOnly="0" labelOnly="1" fieldPosition="0">
        <references count="1">
          <reference field="14"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2">
      <pivotArea dataOnly="0" labelOnly="1" fieldPosition="0">
        <references count="1">
          <reference field="14" count="3">
            <x v="51"/>
            <x v="52"/>
            <x v="53"/>
          </reference>
        </references>
      </pivotArea>
    </format>
    <format dxfId="1">
      <pivotArea dataOnly="0" labelOnly="1" grandRow="1" outline="0"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A09C75-F6E6-49BF-A30C-BEC9BAB8DE77}" sourceName="Region">
  <pivotTables>
    <pivotTable tabId="10" name="PivotTable1"/>
    <pivotTable tabId="10" name="PivotTable5"/>
    <pivotTable tabId="10" name="PivotTable8"/>
  </pivotTables>
  <data>
    <tabular pivotCacheId="368760127">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10BB833-0343-4C47-8F4D-EAC2B764050A}" sourceName="Months (Date)">
  <pivotTables>
    <pivotTable tabId="10" name="PivotTable1"/>
    <pivotTable tabId="10" name="PivotTable5"/>
    <pivotTable tabId="10" name="PivotTable8"/>
  </pivotTables>
  <data>
    <tabular pivotCacheId="368760127">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CDA463-B81D-468D-BCD2-52D82936DB8F}" sourceName="Category">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C9672E-F8D5-41B5-8957-4B0C82BD2385}" cache="Slicer_Region" caption="Region" columnCount="2" style="Slicer Style 1" rowHeight="257175"/>
  <slicer name="Months (Date) 1" xr10:uid="{35950379-4513-4427-A181-624D87A5AF77}" cache="Slicer_Months__Date" caption="Months (Date)" columnCount="3"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2755D28-AA90-48FB-B8EF-2B08CAECF253}" cache="Slicer_Category" caption="Category" style="Slicer Style 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E6C635-9B09-4C61-97D1-A0DA67A1EF80}" cache="Slicer_Region" caption="Region" columnCount="5" rowHeight="257175"/>
  <slicer name="Months (Date)" xr10:uid="{BD0153CD-F047-4FE2-8466-6E4FE6DD4720}" cache="Slicer_Months__Date" caption="Months (Date)" columnCount="3"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AE2CC0E-327D-4AD2-8163-E10EBA4C7E8C}" cache="Slicer_Category" caption="Category" columnCoun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D96EF2-562D-47EA-BA4B-424E7E3C4C62}" name="Table1" displayName="Table1" ref="A1:R251" totalsRowShown="0" headerRowDxfId="36" dataDxfId="34" headerRowBorderDxfId="35" tableBorderDxfId="33" totalsRowBorderDxfId="32">
  <autoFilter ref="A1:R251" xr:uid="{F6D96EF2-562D-47EA-BA4B-424E7E3C4C62}"/>
  <tableColumns count="18">
    <tableColumn id="1" xr3:uid="{1A357E11-0804-42DF-9037-0490A13DFAA2}" name="Transaction_ID" dataDxfId="31"/>
    <tableColumn id="2" xr3:uid="{68E81A21-BA64-4AFE-B81A-2D6E9FA403C4}" name="Date" dataDxfId="30"/>
    <tableColumn id="3" xr3:uid="{F5F673D0-FA93-45EC-B8FD-5C5D7888C73A}" name="Customer_ID" dataDxfId="29"/>
    <tableColumn id="4" xr3:uid="{B7671C74-981D-4A58-8EAA-3D8E565C5328}" name="Customer_Name" dataDxfId="28"/>
    <tableColumn id="5" xr3:uid="{305C7025-EE91-4BE6-BCDA-B23D14FD3518}" name="Product_ID" dataDxfId="27"/>
    <tableColumn id="6" xr3:uid="{7A428F03-2B89-4E84-8497-EDA8FEEF409C}" name="Product_Name" dataDxfId="26"/>
    <tableColumn id="7" xr3:uid="{8BCB60D4-7863-4F95-9CC3-CF722AA0AD25}" name="Category" dataDxfId="25"/>
    <tableColumn id="8" xr3:uid="{46A1DFCD-9AFC-46FF-947A-3B196603F701}" name="Quantity" dataDxfId="24"/>
    <tableColumn id="9" xr3:uid="{1A0C823D-2232-4087-BD5B-A401EDF9C984}" name="Unit_Price" dataDxfId="23"/>
    <tableColumn id="10" xr3:uid="{A0352489-0116-45D8-A32E-A26C9BD8DD75}" name="Payment_Method" dataDxfId="22"/>
    <tableColumn id="11" xr3:uid="{6149656D-9E5F-4F08-93F1-F2CB08FDEF95}" name="Region" dataDxfId="21"/>
    <tableColumn id="12" xr3:uid="{C54500BC-0BE7-4A3B-BE21-A1B471F96095}" name="Customer_Segment" dataDxfId="20"/>
    <tableColumn id="13" xr3:uid="{E833BC2E-9776-46AF-9A2F-207AE19FD0C5}" name="Customer_Since" dataDxfId="19"/>
    <tableColumn id="14" xr3:uid="{A7CB1337-D30F-45BF-8047-61D50E9C80D9}" name="Total_Amount" dataDxfId="18">
      <calculatedColumnFormula>H2*I2</calculatedColumnFormula>
    </tableColumn>
    <tableColumn id="15" xr3:uid="{6147C987-102C-46B8-A90A-E76B84EBB2A0}" name="Customer_Tenure" dataDxfId="17">
      <calculatedColumnFormula>DATEDIF(M2,TODAY(),"Y")</calculatedColumnFormula>
    </tableColumn>
    <tableColumn id="16" xr3:uid="{D94F5981-A775-4134-BE9C-9C452AB3A54B}" name="Current_Date" dataDxfId="16">
      <calculatedColumnFormula>TODAY()</calculatedColumnFormula>
    </tableColumn>
    <tableColumn id="17" xr3:uid="{0AB881AC-44EF-420F-9F0B-F4C5F08588B2}" name="Timestamp" dataDxfId="15">
      <calculatedColumnFormula>IF(A2&lt;&gt;"",IF(Q2="",NOW(),Q2),"")</calculatedColumnFormula>
    </tableColumn>
    <tableColumn id="18" xr3:uid="{0C351517-DB92-4A4F-A758-00C32BCB6598}" name="Month_End" dataDxfId="14">
      <calculatedColumnFormula>EOMONTH(M2,0)</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EF161BA-60FE-4EC3-A4A7-866F983401AD}" sourceName="Date">
  <pivotTables>
    <pivotTable tabId="10" name="PivotTable8"/>
    <pivotTable tabId="10" name="PivotTable1"/>
    <pivotTable tabId="10" name="PivotTable5"/>
  </pivotTables>
  <state minimalRefreshVersion="6" lastRefreshVersion="6" pivotCacheId="36876012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A6C1AE6-69E8-4CBD-B253-3CD170AB9B49}" cache="NativeTimeline_Date" caption="Date" level="2" selectionLevel="2" scrollPosition="2024-08-2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4.xml"/><Relationship Id="rId5" Type="http://schemas.microsoft.com/office/2007/relationships/slicer" Target="../slicers/slicer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43B9-AC89-4597-B361-C44161E234EE}">
  <dimension ref="H21"/>
  <sheetViews>
    <sheetView showGridLines="0" tabSelected="1" view="pageBreakPreview" zoomScale="60" zoomScaleNormal="50" workbookViewId="0">
      <selection activeCell="Z54" sqref="Z54"/>
    </sheetView>
  </sheetViews>
  <sheetFormatPr defaultRowHeight="15" x14ac:dyDescent="0.25"/>
  <cols>
    <col min="1" max="16384" width="9.140625" style="80"/>
  </cols>
  <sheetData>
    <row r="21" spans="8:8" x14ac:dyDescent="0.25">
      <c r="H21" s="81">
        <f>PIVOT_TABLES!B9</f>
        <v>229442.50000000003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0B2D1-C4EA-4714-8C26-8C534ED6AF84}">
  <dimension ref="A2:U39"/>
  <sheetViews>
    <sheetView zoomScale="75" zoomScaleNormal="75" workbookViewId="0">
      <selection activeCell="W8" sqref="W8"/>
    </sheetView>
  </sheetViews>
  <sheetFormatPr defaultRowHeight="15" x14ac:dyDescent="0.25"/>
  <cols>
    <col min="1" max="1" width="17.140625" bestFit="1" customWidth="1"/>
    <col min="2" max="2" width="20.28515625" bestFit="1" customWidth="1"/>
    <col min="20" max="20" width="9.140625" customWidth="1"/>
    <col min="21" max="21" width="13.140625" customWidth="1"/>
    <col min="26" max="26" width="9.140625" customWidth="1"/>
  </cols>
  <sheetData>
    <row r="2" spans="1:21" x14ac:dyDescent="0.25">
      <c r="A2" s="88" t="s">
        <v>462</v>
      </c>
      <c r="B2" s="89"/>
      <c r="U2" s="87">
        <f>GETPIVOTDATA("Sum of Total_Amount",$A$3)</f>
        <v>229442.50000000003</v>
      </c>
    </row>
    <row r="3" spans="1:21" x14ac:dyDescent="0.25">
      <c r="A3" s="65" t="s">
        <v>459</v>
      </c>
      <c r="B3" s="19" t="s">
        <v>461</v>
      </c>
    </row>
    <row r="4" spans="1:21" x14ac:dyDescent="0.25">
      <c r="A4" s="19" t="s">
        <v>21</v>
      </c>
      <c r="B4" s="66">
        <v>41538.370000000017</v>
      </c>
    </row>
    <row r="5" spans="1:21" x14ac:dyDescent="0.25">
      <c r="A5" s="19" t="s">
        <v>63</v>
      </c>
      <c r="B5" s="66">
        <v>59288.389999999992</v>
      </c>
    </row>
    <row r="6" spans="1:21" x14ac:dyDescent="0.25">
      <c r="A6" s="19" t="s">
        <v>40</v>
      </c>
      <c r="B6" s="66">
        <v>50808.310000000012</v>
      </c>
    </row>
    <row r="7" spans="1:21" x14ac:dyDescent="0.25">
      <c r="A7" s="19" t="s">
        <v>35</v>
      </c>
      <c r="B7" s="66">
        <v>36398.750000000007</v>
      </c>
    </row>
    <row r="8" spans="1:21" x14ac:dyDescent="0.25">
      <c r="A8" s="19" t="s">
        <v>50</v>
      </c>
      <c r="B8" s="66">
        <v>41408.680000000015</v>
      </c>
    </row>
    <row r="9" spans="1:21" x14ac:dyDescent="0.25">
      <c r="A9" s="19" t="s">
        <v>460</v>
      </c>
      <c r="B9" s="66">
        <v>229442.50000000003</v>
      </c>
    </row>
    <row r="11" spans="1:21" x14ac:dyDescent="0.25">
      <c r="A11" s="88" t="s">
        <v>463</v>
      </c>
      <c r="B11" s="88"/>
    </row>
    <row r="12" spans="1:21" x14ac:dyDescent="0.25">
      <c r="A12" s="65" t="s">
        <v>459</v>
      </c>
      <c r="B12" s="19" t="s">
        <v>461</v>
      </c>
    </row>
    <row r="13" spans="1:21" x14ac:dyDescent="0.25">
      <c r="A13" s="19" t="s">
        <v>32</v>
      </c>
      <c r="B13" s="66">
        <v>5219.1299999999974</v>
      </c>
    </row>
    <row r="14" spans="1:21" x14ac:dyDescent="0.25">
      <c r="A14" s="19" t="s">
        <v>45</v>
      </c>
      <c r="B14" s="66">
        <v>15298.979999999994</v>
      </c>
    </row>
    <row r="15" spans="1:21" x14ac:dyDescent="0.25">
      <c r="A15" s="19" t="s">
        <v>115</v>
      </c>
      <c r="B15" s="66">
        <v>3119.6099999999992</v>
      </c>
    </row>
    <row r="16" spans="1:21" x14ac:dyDescent="0.25">
      <c r="A16" s="19" t="s">
        <v>106</v>
      </c>
      <c r="B16" s="66">
        <v>23399.22</v>
      </c>
    </row>
    <row r="17" spans="1:2" x14ac:dyDescent="0.25">
      <c r="A17" s="19" t="s">
        <v>53</v>
      </c>
      <c r="B17" s="66">
        <v>7049.5299999999988</v>
      </c>
    </row>
    <row r="18" spans="1:2" x14ac:dyDescent="0.25">
      <c r="A18" s="19" t="s">
        <v>118</v>
      </c>
      <c r="B18" s="66">
        <v>8009.1099999999969</v>
      </c>
    </row>
    <row r="19" spans="1:2" x14ac:dyDescent="0.25">
      <c r="A19" s="19" t="s">
        <v>62</v>
      </c>
      <c r="B19" s="66">
        <v>67499.25</v>
      </c>
    </row>
    <row r="20" spans="1:2" x14ac:dyDescent="0.25">
      <c r="A20" s="19" t="s">
        <v>18</v>
      </c>
      <c r="B20" s="66">
        <v>22249.15</v>
      </c>
    </row>
    <row r="21" spans="1:2" x14ac:dyDescent="0.25">
      <c r="A21" s="19" t="s">
        <v>127</v>
      </c>
      <c r="B21" s="66">
        <v>10399.479999999998</v>
      </c>
    </row>
    <row r="22" spans="1:2" x14ac:dyDescent="0.25">
      <c r="A22" s="19" t="s">
        <v>81</v>
      </c>
      <c r="B22" s="66">
        <v>67199.039999999994</v>
      </c>
    </row>
    <row r="23" spans="1:2" x14ac:dyDescent="0.25">
      <c r="A23" s="19" t="s">
        <v>460</v>
      </c>
      <c r="B23" s="66">
        <v>229442.5</v>
      </c>
    </row>
    <row r="25" spans="1:2" x14ac:dyDescent="0.25">
      <c r="A25" s="88" t="s">
        <v>464</v>
      </c>
      <c r="B25" s="88"/>
    </row>
    <row r="26" spans="1:2" x14ac:dyDescent="0.25">
      <c r="A26" s="82" t="s">
        <v>459</v>
      </c>
      <c r="B26" s="83" t="s">
        <v>461</v>
      </c>
    </row>
    <row r="27" spans="1:2" x14ac:dyDescent="0.25">
      <c r="A27" s="84" t="s">
        <v>528</v>
      </c>
      <c r="B27" s="85">
        <v>25799.15</v>
      </c>
    </row>
    <row r="28" spans="1:2" x14ac:dyDescent="0.25">
      <c r="A28" s="84" t="s">
        <v>529</v>
      </c>
      <c r="B28" s="85">
        <v>16069.380000000001</v>
      </c>
    </row>
    <row r="29" spans="1:2" x14ac:dyDescent="0.25">
      <c r="A29" s="84" t="s">
        <v>530</v>
      </c>
      <c r="B29" s="85">
        <v>19899.379999999997</v>
      </c>
    </row>
    <row r="30" spans="1:2" x14ac:dyDescent="0.25">
      <c r="A30" s="84" t="s">
        <v>519</v>
      </c>
      <c r="B30" s="85">
        <v>28149.190000000006</v>
      </c>
    </row>
    <row r="31" spans="1:2" x14ac:dyDescent="0.25">
      <c r="A31" s="84" t="s">
        <v>520</v>
      </c>
      <c r="B31" s="85">
        <v>17039.349999999999</v>
      </c>
    </row>
    <row r="32" spans="1:2" x14ac:dyDescent="0.25">
      <c r="A32" s="84" t="s">
        <v>521</v>
      </c>
      <c r="B32" s="85">
        <v>19299.45</v>
      </c>
    </row>
    <row r="33" spans="1:2" x14ac:dyDescent="0.25">
      <c r="A33" s="84" t="s">
        <v>522</v>
      </c>
      <c r="B33" s="85">
        <v>18479.399999999994</v>
      </c>
    </row>
    <row r="34" spans="1:2" x14ac:dyDescent="0.25">
      <c r="A34" s="84" t="s">
        <v>523</v>
      </c>
      <c r="B34" s="85">
        <v>15759.429999999997</v>
      </c>
    </row>
    <row r="35" spans="1:2" x14ac:dyDescent="0.25">
      <c r="A35" s="84" t="s">
        <v>524</v>
      </c>
      <c r="B35" s="85">
        <v>12989.509999999998</v>
      </c>
    </row>
    <row r="36" spans="1:2" x14ac:dyDescent="0.25">
      <c r="A36" s="84" t="s">
        <v>525</v>
      </c>
      <c r="B36" s="85">
        <v>20609.52</v>
      </c>
    </row>
    <row r="37" spans="1:2" x14ac:dyDescent="0.25">
      <c r="A37" s="84" t="s">
        <v>526</v>
      </c>
      <c r="B37" s="85">
        <v>12309.439999999999</v>
      </c>
    </row>
    <row r="38" spans="1:2" x14ac:dyDescent="0.25">
      <c r="A38" s="84" t="s">
        <v>527</v>
      </c>
      <c r="B38" s="85">
        <v>23039.3</v>
      </c>
    </row>
    <row r="39" spans="1:2" x14ac:dyDescent="0.25">
      <c r="A39" s="83" t="s">
        <v>460</v>
      </c>
      <c r="B39" s="86">
        <v>229442.49999999997</v>
      </c>
    </row>
  </sheetData>
  <mergeCells count="3">
    <mergeCell ref="A2:B2"/>
    <mergeCell ref="A11:B11"/>
    <mergeCell ref="A25:B25"/>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7612-1180-490A-9D4D-DB0E59AED8D4}">
  <dimension ref="A1:E37"/>
  <sheetViews>
    <sheetView topLeftCell="B1" zoomScaleNormal="100" workbookViewId="0">
      <selection activeCell="K9" sqref="K9"/>
    </sheetView>
  </sheetViews>
  <sheetFormatPr defaultRowHeight="15" x14ac:dyDescent="0.25"/>
  <cols>
    <col min="1" max="1" width="25.42578125" customWidth="1"/>
    <col min="2" max="2" width="23.85546875" customWidth="1"/>
    <col min="3" max="3" width="9.140625" customWidth="1"/>
    <col min="4" max="4" width="14.42578125" customWidth="1"/>
    <col min="5" max="5" width="16.85546875" customWidth="1"/>
    <col min="6" max="7" width="9.140625" customWidth="1"/>
  </cols>
  <sheetData>
    <row r="1" spans="1:5" x14ac:dyDescent="0.25">
      <c r="A1" s="110" t="s">
        <v>534</v>
      </c>
      <c r="B1" s="110" t="s">
        <v>10</v>
      </c>
      <c r="D1" s="111" t="s">
        <v>571</v>
      </c>
      <c r="E1" s="111" t="s">
        <v>572</v>
      </c>
    </row>
    <row r="2" spans="1:5" ht="14.25" customHeight="1" x14ac:dyDescent="0.25">
      <c r="A2" s="109" t="s">
        <v>535</v>
      </c>
      <c r="B2" s="109" t="s">
        <v>40</v>
      </c>
      <c r="D2" s="108" t="s">
        <v>40</v>
      </c>
      <c r="E2" s="108">
        <f>IF(B2=$D$2,1,"")</f>
        <v>1</v>
      </c>
    </row>
    <row r="3" spans="1:5" x14ac:dyDescent="0.25">
      <c r="A3" s="109" t="s">
        <v>536</v>
      </c>
      <c r="B3" s="109" t="s">
        <v>40</v>
      </c>
      <c r="D3" s="108"/>
      <c r="E3" s="108">
        <f>IF(B3=$D$2,1,"")</f>
        <v>1</v>
      </c>
    </row>
    <row r="4" spans="1:5" x14ac:dyDescent="0.25">
      <c r="A4" s="109" t="s">
        <v>537</v>
      </c>
      <c r="B4" s="109" t="s">
        <v>40</v>
      </c>
      <c r="D4" s="108"/>
      <c r="E4" s="108">
        <f>IF(B4=$D$2,1,"")</f>
        <v>1</v>
      </c>
    </row>
    <row r="5" spans="1:5" x14ac:dyDescent="0.25">
      <c r="A5" s="109" t="s">
        <v>538</v>
      </c>
      <c r="B5" s="109" t="s">
        <v>40</v>
      </c>
      <c r="D5" s="108"/>
      <c r="E5" s="108">
        <f>IF(B5=$D$2,1,"")</f>
        <v>1</v>
      </c>
    </row>
    <row r="6" spans="1:5" x14ac:dyDescent="0.25">
      <c r="A6" s="109" t="s">
        <v>539</v>
      </c>
      <c r="B6" s="109" t="s">
        <v>40</v>
      </c>
      <c r="D6" s="108"/>
      <c r="E6" s="108">
        <f>IF(B6=$D$2,1,"")</f>
        <v>1</v>
      </c>
    </row>
    <row r="7" spans="1:5" x14ac:dyDescent="0.25">
      <c r="A7" s="109" t="s">
        <v>540</v>
      </c>
      <c r="B7" s="109" t="s">
        <v>40</v>
      </c>
      <c r="D7" s="108"/>
      <c r="E7" s="108">
        <f>IF(B7=$D$2,1,"")</f>
        <v>1</v>
      </c>
    </row>
    <row r="8" spans="1:5" x14ac:dyDescent="0.25">
      <c r="A8" s="109" t="s">
        <v>541</v>
      </c>
      <c r="B8" s="109" t="s">
        <v>40</v>
      </c>
      <c r="D8" s="108"/>
      <c r="E8" s="108">
        <f>IF(B8=$D$2,1,"")</f>
        <v>1</v>
      </c>
    </row>
    <row r="9" spans="1:5" x14ac:dyDescent="0.25">
      <c r="A9" s="109" t="s">
        <v>542</v>
      </c>
      <c r="B9" s="109" t="s">
        <v>40</v>
      </c>
      <c r="D9" s="108"/>
      <c r="E9" s="108">
        <f>IF(B9=$D$2,1,"")</f>
        <v>1</v>
      </c>
    </row>
    <row r="10" spans="1:5" x14ac:dyDescent="0.25">
      <c r="A10" s="109" t="s">
        <v>543</v>
      </c>
      <c r="B10" s="109" t="s">
        <v>40</v>
      </c>
      <c r="D10" s="108"/>
      <c r="E10" s="108">
        <f>IF(B10=$D$2,1,"")</f>
        <v>1</v>
      </c>
    </row>
    <row r="11" spans="1:5" x14ac:dyDescent="0.25">
      <c r="A11" s="109" t="s">
        <v>544</v>
      </c>
      <c r="B11" s="109" t="s">
        <v>40</v>
      </c>
      <c r="D11" s="108"/>
      <c r="E11" s="108">
        <f>IF(B11=$D$2,1,"")</f>
        <v>1</v>
      </c>
    </row>
    <row r="12" spans="1:5" x14ac:dyDescent="0.25">
      <c r="A12" s="109" t="s">
        <v>545</v>
      </c>
      <c r="B12" s="109" t="s">
        <v>21</v>
      </c>
      <c r="D12" s="108"/>
      <c r="E12" s="108" t="str">
        <f>IF(B12=$D$2,1,"")</f>
        <v/>
      </c>
    </row>
    <row r="13" spans="1:5" x14ac:dyDescent="0.25">
      <c r="A13" s="109" t="s">
        <v>546</v>
      </c>
      <c r="B13" s="109" t="s">
        <v>21</v>
      </c>
      <c r="D13" s="108"/>
      <c r="E13" s="108" t="str">
        <f>IF(B13=$D$2,1,"")</f>
        <v/>
      </c>
    </row>
    <row r="14" spans="1:5" x14ac:dyDescent="0.25">
      <c r="A14" s="109" t="s">
        <v>547</v>
      </c>
      <c r="B14" s="109" t="s">
        <v>50</v>
      </c>
      <c r="D14" s="108"/>
      <c r="E14" s="108" t="str">
        <f>IF(B14=$D$2,1,"")</f>
        <v/>
      </c>
    </row>
    <row r="15" spans="1:5" x14ac:dyDescent="0.25">
      <c r="A15" s="109" t="s">
        <v>548</v>
      </c>
      <c r="B15" s="109" t="s">
        <v>50</v>
      </c>
      <c r="D15" s="108"/>
      <c r="E15" s="108" t="str">
        <f>IF(B15=$D$2,1,"")</f>
        <v/>
      </c>
    </row>
    <row r="16" spans="1:5" x14ac:dyDescent="0.25">
      <c r="A16" s="109" t="s">
        <v>549</v>
      </c>
      <c r="B16" s="109" t="s">
        <v>50</v>
      </c>
      <c r="D16" s="108"/>
      <c r="E16" s="108" t="str">
        <f>IF(B16=$D$2,1,"")</f>
        <v/>
      </c>
    </row>
    <row r="17" spans="1:5" ht="24.75" customHeight="1" x14ac:dyDescent="0.25">
      <c r="A17" s="109" t="s">
        <v>550</v>
      </c>
      <c r="B17" s="109" t="s">
        <v>50</v>
      </c>
      <c r="D17" s="108"/>
      <c r="E17" s="108" t="str">
        <f>IF(B17=$D$2,1,"")</f>
        <v/>
      </c>
    </row>
    <row r="18" spans="1:5" x14ac:dyDescent="0.25">
      <c r="A18" s="109" t="s">
        <v>551</v>
      </c>
      <c r="B18" s="109" t="s">
        <v>35</v>
      </c>
      <c r="D18" s="108"/>
      <c r="E18" s="108" t="str">
        <f>IF(B18=$D$2,1,"")</f>
        <v/>
      </c>
    </row>
    <row r="19" spans="1:5" x14ac:dyDescent="0.25">
      <c r="A19" s="109" t="s">
        <v>552</v>
      </c>
      <c r="B19" s="109" t="s">
        <v>35</v>
      </c>
      <c r="D19" s="108"/>
      <c r="E19" s="108" t="str">
        <f>IF(B19=$D$2,1,"")</f>
        <v/>
      </c>
    </row>
    <row r="20" spans="1:5" x14ac:dyDescent="0.25">
      <c r="A20" s="109" t="s">
        <v>553</v>
      </c>
      <c r="B20" s="109" t="s">
        <v>35</v>
      </c>
      <c r="D20" s="108"/>
      <c r="E20" s="108" t="str">
        <f>IF(B20=$D$2,1,"")</f>
        <v/>
      </c>
    </row>
    <row r="21" spans="1:5" x14ac:dyDescent="0.25">
      <c r="A21" s="109" t="s">
        <v>554</v>
      </c>
      <c r="B21" s="109" t="s">
        <v>35</v>
      </c>
      <c r="D21" s="108"/>
      <c r="E21" s="108" t="str">
        <f>IF(B21=$D$2,1,"")</f>
        <v/>
      </c>
    </row>
    <row r="22" spans="1:5" x14ac:dyDescent="0.25">
      <c r="A22" s="109" t="s">
        <v>555</v>
      </c>
      <c r="B22" s="109" t="s">
        <v>35</v>
      </c>
      <c r="D22" s="108"/>
      <c r="E22" s="108" t="str">
        <f>IF(B22=$D$2,1,"")</f>
        <v/>
      </c>
    </row>
    <row r="23" spans="1:5" x14ac:dyDescent="0.25">
      <c r="A23" s="109" t="s">
        <v>556</v>
      </c>
      <c r="B23" s="109" t="s">
        <v>35</v>
      </c>
      <c r="D23" s="108"/>
      <c r="E23" s="108" t="str">
        <f>IF(B23=$D$2,1,"")</f>
        <v/>
      </c>
    </row>
    <row r="24" spans="1:5" x14ac:dyDescent="0.25">
      <c r="A24" s="109" t="s">
        <v>557</v>
      </c>
      <c r="B24" s="109" t="s">
        <v>35</v>
      </c>
      <c r="D24" s="108"/>
      <c r="E24" s="108" t="str">
        <f>IF(B24=$D$2,1,"")</f>
        <v/>
      </c>
    </row>
    <row r="25" spans="1:5" ht="23.25" customHeight="1" x14ac:dyDescent="0.25">
      <c r="A25" s="109" t="s">
        <v>558</v>
      </c>
      <c r="B25" s="109" t="s">
        <v>63</v>
      </c>
      <c r="D25" s="108"/>
      <c r="E25" s="108" t="str">
        <f>IF(B25=$D$2,1,"")</f>
        <v/>
      </c>
    </row>
    <row r="26" spans="1:5" x14ac:dyDescent="0.25">
      <c r="A26" s="109" t="s">
        <v>559</v>
      </c>
      <c r="B26" s="109" t="s">
        <v>63</v>
      </c>
      <c r="D26" s="108"/>
      <c r="E26" s="108" t="str">
        <f>IF(B26=$D$2,1,"")</f>
        <v/>
      </c>
    </row>
    <row r="27" spans="1:5" x14ac:dyDescent="0.25">
      <c r="A27" s="109" t="s">
        <v>560</v>
      </c>
      <c r="B27" s="109" t="s">
        <v>63</v>
      </c>
      <c r="D27" s="108"/>
      <c r="E27" s="108" t="str">
        <f>IF(B27=$D$2,1,"")</f>
        <v/>
      </c>
    </row>
    <row r="28" spans="1:5" x14ac:dyDescent="0.25">
      <c r="A28" s="109" t="s">
        <v>561</v>
      </c>
      <c r="B28" s="109" t="s">
        <v>63</v>
      </c>
      <c r="D28" s="108"/>
      <c r="E28" s="108" t="str">
        <f>IF(B28=$D$2,1,"")</f>
        <v/>
      </c>
    </row>
    <row r="29" spans="1:5" x14ac:dyDescent="0.25">
      <c r="A29" s="109" t="s">
        <v>562</v>
      </c>
      <c r="B29" s="109" t="s">
        <v>63</v>
      </c>
      <c r="D29" s="108"/>
      <c r="E29" s="108" t="str">
        <f>IF(B29=$D$2,1,"")</f>
        <v/>
      </c>
    </row>
    <row r="30" spans="1:5" x14ac:dyDescent="0.25">
      <c r="A30" s="109" t="s">
        <v>563</v>
      </c>
      <c r="B30" s="109" t="s">
        <v>63</v>
      </c>
      <c r="D30" s="108"/>
      <c r="E30" s="108" t="str">
        <f>IF(B30=$D$2,1,"")</f>
        <v/>
      </c>
    </row>
    <row r="31" spans="1:5" x14ac:dyDescent="0.25">
      <c r="A31" s="109" t="s">
        <v>564</v>
      </c>
      <c r="B31" s="109" t="s">
        <v>63</v>
      </c>
      <c r="D31" s="108"/>
      <c r="E31" s="108" t="str">
        <f>IF(B31=$D$2,1,"")</f>
        <v/>
      </c>
    </row>
    <row r="32" spans="1:5" x14ac:dyDescent="0.25">
      <c r="A32" s="109" t="s">
        <v>565</v>
      </c>
      <c r="B32" s="109" t="s">
        <v>63</v>
      </c>
      <c r="D32" s="108"/>
      <c r="E32" s="108" t="str">
        <f>IF(B32=$D$2,1,"")</f>
        <v/>
      </c>
    </row>
    <row r="33" spans="1:5" x14ac:dyDescent="0.25">
      <c r="A33" s="109" t="s">
        <v>566</v>
      </c>
      <c r="B33" s="109" t="s">
        <v>63</v>
      </c>
      <c r="D33" s="108"/>
      <c r="E33" s="108" t="str">
        <f>IF(B33=$D$2,1,"")</f>
        <v/>
      </c>
    </row>
    <row r="34" spans="1:5" x14ac:dyDescent="0.25">
      <c r="A34" s="109" t="s">
        <v>567</v>
      </c>
      <c r="B34" s="109" t="s">
        <v>63</v>
      </c>
      <c r="D34" s="108"/>
      <c r="E34" s="108" t="str">
        <f>IF(B34=$D$2,1,"")</f>
        <v/>
      </c>
    </row>
    <row r="35" spans="1:5" x14ac:dyDescent="0.25">
      <c r="A35" s="109" t="s">
        <v>568</v>
      </c>
      <c r="B35" s="109" t="s">
        <v>63</v>
      </c>
      <c r="D35" s="108"/>
      <c r="E35" s="108" t="str">
        <f>IF(B35=$D$2,1,"")</f>
        <v/>
      </c>
    </row>
    <row r="36" spans="1:5" x14ac:dyDescent="0.25">
      <c r="A36" s="109" t="s">
        <v>569</v>
      </c>
      <c r="B36" s="109" t="s">
        <v>63</v>
      </c>
      <c r="D36" s="108"/>
      <c r="E36" s="108" t="str">
        <f>IF(B36=$D$2,1,"")</f>
        <v/>
      </c>
    </row>
    <row r="37" spans="1:5" x14ac:dyDescent="0.25">
      <c r="A37" s="109" t="s">
        <v>570</v>
      </c>
      <c r="B37" s="109" t="s">
        <v>63</v>
      </c>
      <c r="D37" s="108"/>
      <c r="E37" s="108"/>
    </row>
  </sheetData>
  <dataValidations count="1">
    <dataValidation type="list" allowBlank="1" showInputMessage="1" showErrorMessage="1" sqref="D2" xr:uid="{F875F1CD-25A0-44AD-B7A5-7CC8D19C4413}">
      <formula1>"North,South,East,West,Central"</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CD7C-1580-499E-B77C-B9C74AA65993}">
  <dimension ref="A1:R251"/>
  <sheetViews>
    <sheetView topLeftCell="B1" workbookViewId="0">
      <selection activeCell="L22" sqref="L22"/>
    </sheetView>
  </sheetViews>
  <sheetFormatPr defaultRowHeight="15" x14ac:dyDescent="0.25"/>
  <cols>
    <col min="1" max="1" width="20.5703125" customWidth="1"/>
    <col min="2" max="2" width="16.28515625" customWidth="1"/>
    <col min="3" max="3" width="19" customWidth="1"/>
    <col min="4" max="4" width="21.5703125" customWidth="1"/>
    <col min="5" max="5" width="17.140625" customWidth="1"/>
    <col min="6" max="6" width="20.28515625" customWidth="1"/>
    <col min="7" max="7" width="16.140625" customWidth="1"/>
    <col min="8" max="8" width="15.42578125" customWidth="1"/>
    <col min="9" max="9" width="17.42578125" customWidth="1"/>
    <col min="10" max="10" width="24.5703125" customWidth="1"/>
    <col min="11" max="11" width="15.42578125" customWidth="1"/>
    <col min="12" max="12" width="27" customWidth="1"/>
    <col min="13" max="13" width="22.5703125" customWidth="1"/>
    <col min="14" max="14" width="25.42578125" customWidth="1"/>
    <col min="15" max="15" width="19.85546875" customWidth="1"/>
    <col min="16" max="16" width="26.85546875" customWidth="1"/>
    <col min="17" max="17" width="24.7109375" customWidth="1"/>
    <col min="18" max="18" width="20.140625" customWidth="1"/>
  </cols>
  <sheetData>
    <row r="1" spans="1:18" ht="15.75" x14ac:dyDescent="0.25">
      <c r="A1" s="6" t="s">
        <v>0</v>
      </c>
      <c r="B1" s="7" t="s">
        <v>1</v>
      </c>
      <c r="C1" s="8" t="s">
        <v>2</v>
      </c>
      <c r="D1" s="8" t="s">
        <v>3</v>
      </c>
      <c r="E1" s="8" t="s">
        <v>4</v>
      </c>
      <c r="F1" s="8" t="s">
        <v>5</v>
      </c>
      <c r="G1" s="8" t="s">
        <v>6</v>
      </c>
      <c r="H1" s="9" t="s">
        <v>7</v>
      </c>
      <c r="I1" s="10" t="s">
        <v>8</v>
      </c>
      <c r="J1" s="8" t="s">
        <v>9</v>
      </c>
      <c r="K1" s="8" t="s">
        <v>10</v>
      </c>
      <c r="L1" s="8" t="s">
        <v>11</v>
      </c>
      <c r="M1" s="7" t="s">
        <v>12</v>
      </c>
      <c r="N1" s="11" t="s">
        <v>13</v>
      </c>
      <c r="O1" s="8" t="s">
        <v>399</v>
      </c>
      <c r="P1" s="8" t="s">
        <v>400</v>
      </c>
      <c r="Q1" s="8" t="s">
        <v>401</v>
      </c>
      <c r="R1" s="7" t="s">
        <v>402</v>
      </c>
    </row>
    <row r="2" spans="1:18" x14ac:dyDescent="0.25">
      <c r="A2" s="2" t="s">
        <v>14</v>
      </c>
      <c r="B2" s="1">
        <v>45393</v>
      </c>
      <c r="C2" s="2" t="s">
        <v>15</v>
      </c>
      <c r="D2" s="2" t="s">
        <v>16</v>
      </c>
      <c r="E2" s="2" t="s">
        <v>17</v>
      </c>
      <c r="F2" s="2" t="s">
        <v>18</v>
      </c>
      <c r="G2" s="2" t="s">
        <v>19</v>
      </c>
      <c r="H2" s="3">
        <v>3</v>
      </c>
      <c r="I2" s="4">
        <v>333.33333333333331</v>
      </c>
      <c r="J2" s="2" t="s">
        <v>20</v>
      </c>
      <c r="K2" s="2" t="s">
        <v>21</v>
      </c>
      <c r="L2" s="2" t="s">
        <v>22</v>
      </c>
      <c r="M2" s="1">
        <v>44425</v>
      </c>
      <c r="N2" s="4">
        <f>H2*I2</f>
        <v>1000</v>
      </c>
      <c r="O2" s="2">
        <f t="shared" ref="O2:O65" ca="1" si="0">DATEDIF(M2,TODAY(),"Y")</f>
        <v>5</v>
      </c>
      <c r="P2" s="12">
        <f t="shared" ref="P2:P65" ca="1" si="1">TODAY()</f>
        <v>46305</v>
      </c>
      <c r="Q2" s="15">
        <f t="shared" ref="Q2:Q65" ca="1" si="2">IF(A2&lt;&gt;"",IF(Q2="",NOW(),Q2),"")</f>
        <v>0</v>
      </c>
      <c r="R2" s="18">
        <f t="shared" ref="R2:R65" si="3">EOMONTH(M2,0)</f>
        <v>44439</v>
      </c>
    </row>
    <row r="3" spans="1:18" x14ac:dyDescent="0.25">
      <c r="A3" s="2" t="s">
        <v>23</v>
      </c>
      <c r="B3" s="1">
        <v>45396</v>
      </c>
      <c r="C3" s="2" t="s">
        <v>24</v>
      </c>
      <c r="D3" s="2" t="s">
        <v>25</v>
      </c>
      <c r="E3" s="2" t="s">
        <v>17</v>
      </c>
      <c r="F3" s="2" t="s">
        <v>18</v>
      </c>
      <c r="G3" s="2" t="s">
        <v>19</v>
      </c>
      <c r="H3" s="3">
        <v>3</v>
      </c>
      <c r="I3" s="4">
        <v>249.99</v>
      </c>
      <c r="J3" s="2" t="s">
        <v>26</v>
      </c>
      <c r="K3" s="2" t="s">
        <v>21</v>
      </c>
      <c r="L3" s="2" t="s">
        <v>27</v>
      </c>
      <c r="M3" s="1">
        <v>44575</v>
      </c>
      <c r="N3" s="4">
        <f t="shared" ref="N3:N66" si="4">H3*I3</f>
        <v>749.97</v>
      </c>
      <c r="O3" s="2">
        <f ca="1">DATEDIF(M3,TODAY(),"Y")</f>
        <v>4</v>
      </c>
      <c r="P3" s="13">
        <f ca="1">TODAY()</f>
        <v>46305</v>
      </c>
      <c r="Q3" s="16">
        <f t="shared" ca="1" si="2"/>
        <v>0</v>
      </c>
      <c r="R3" s="1">
        <f>EOMONTH(M3,0)</f>
        <v>44592</v>
      </c>
    </row>
    <row r="4" spans="1:18" x14ac:dyDescent="0.25">
      <c r="A4" s="2" t="s">
        <v>28</v>
      </c>
      <c r="B4" s="1">
        <v>45399</v>
      </c>
      <c r="C4" s="2" t="s">
        <v>29</v>
      </c>
      <c r="D4" s="2" t="s">
        <v>30</v>
      </c>
      <c r="E4" s="2" t="s">
        <v>31</v>
      </c>
      <c r="F4" s="2" t="s">
        <v>32</v>
      </c>
      <c r="G4" s="2" t="s">
        <v>33</v>
      </c>
      <c r="H4" s="3">
        <v>3</v>
      </c>
      <c r="I4" s="4">
        <v>59.99</v>
      </c>
      <c r="J4" s="2" t="s">
        <v>34</v>
      </c>
      <c r="K4" s="2" t="s">
        <v>35</v>
      </c>
      <c r="L4" s="2" t="s">
        <v>36</v>
      </c>
      <c r="M4" s="1">
        <v>45262</v>
      </c>
      <c r="N4" s="4">
        <f t="shared" si="4"/>
        <v>179.97</v>
      </c>
      <c r="O4" s="2">
        <f t="shared" ca="1" si="0"/>
        <v>2</v>
      </c>
      <c r="P4" s="13">
        <f t="shared" ca="1" si="1"/>
        <v>46305</v>
      </c>
      <c r="Q4" s="16">
        <f t="shared" ca="1" si="2"/>
        <v>0</v>
      </c>
      <c r="R4" s="1">
        <f t="shared" si="3"/>
        <v>45291</v>
      </c>
    </row>
    <row r="5" spans="1:18" ht="15.75" customHeight="1" x14ac:dyDescent="0.25">
      <c r="A5" s="2" t="s">
        <v>37</v>
      </c>
      <c r="B5" s="1">
        <v>45400</v>
      </c>
      <c r="C5" s="2" t="s">
        <v>38</v>
      </c>
      <c r="D5" s="2" t="s">
        <v>39</v>
      </c>
      <c r="E5" s="2" t="s">
        <v>31</v>
      </c>
      <c r="F5" s="2" t="s">
        <v>32</v>
      </c>
      <c r="G5" s="2" t="s">
        <v>33</v>
      </c>
      <c r="H5" s="3">
        <v>3</v>
      </c>
      <c r="I5" s="4">
        <v>59.99</v>
      </c>
      <c r="J5" s="2" t="s">
        <v>20</v>
      </c>
      <c r="K5" s="2" t="s">
        <v>40</v>
      </c>
      <c r="L5" s="2" t="s">
        <v>27</v>
      </c>
      <c r="M5" s="1">
        <v>45114</v>
      </c>
      <c r="N5" s="4">
        <f t="shared" si="4"/>
        <v>179.97</v>
      </c>
      <c r="O5" s="2">
        <f t="shared" ca="1" si="0"/>
        <v>3</v>
      </c>
      <c r="P5" s="13">
        <f t="shared" ca="1" si="1"/>
        <v>46305</v>
      </c>
      <c r="Q5" s="16">
        <f t="shared" ca="1" si="2"/>
        <v>0</v>
      </c>
      <c r="R5" s="1">
        <f t="shared" si="3"/>
        <v>45138</v>
      </c>
    </row>
    <row r="6" spans="1:18" x14ac:dyDescent="0.25">
      <c r="A6" s="2" t="s">
        <v>41</v>
      </c>
      <c r="B6" s="1">
        <v>45400</v>
      </c>
      <c r="C6" s="2" t="s">
        <v>42</v>
      </c>
      <c r="D6" s="2" t="s">
        <v>43</v>
      </c>
      <c r="E6" s="2" t="s">
        <v>44</v>
      </c>
      <c r="F6" s="2" t="s">
        <v>45</v>
      </c>
      <c r="G6" s="2" t="s">
        <v>46</v>
      </c>
      <c r="H6" s="3">
        <v>5</v>
      </c>
      <c r="I6" s="4">
        <v>149.99</v>
      </c>
      <c r="J6" s="2" t="s">
        <v>26</v>
      </c>
      <c r="K6" s="2" t="s">
        <v>40</v>
      </c>
      <c r="L6" s="2" t="s">
        <v>27</v>
      </c>
      <c r="M6" s="1">
        <v>45295</v>
      </c>
      <c r="N6" s="4">
        <f t="shared" si="4"/>
        <v>749.95</v>
      </c>
      <c r="O6" s="2">
        <f t="shared" ca="1" si="0"/>
        <v>2</v>
      </c>
      <c r="P6" s="13">
        <f t="shared" ca="1" si="1"/>
        <v>46305</v>
      </c>
      <c r="Q6" s="16">
        <f t="shared" ca="1" si="2"/>
        <v>0</v>
      </c>
      <c r="R6" s="1">
        <f t="shared" si="3"/>
        <v>45322</v>
      </c>
    </row>
    <row r="7" spans="1:18" x14ac:dyDescent="0.25">
      <c r="A7" s="2" t="s">
        <v>47</v>
      </c>
      <c r="B7" s="1">
        <v>45403</v>
      </c>
      <c r="C7" s="2" t="s">
        <v>48</v>
      </c>
      <c r="D7" s="2" t="s">
        <v>49</v>
      </c>
      <c r="E7" s="2" t="s">
        <v>31</v>
      </c>
      <c r="F7" s="2" t="s">
        <v>32</v>
      </c>
      <c r="G7" s="2" t="s">
        <v>33</v>
      </c>
      <c r="H7" s="3">
        <v>2</v>
      </c>
      <c r="I7" s="4">
        <v>59.99</v>
      </c>
      <c r="J7" s="2" t="s">
        <v>20</v>
      </c>
      <c r="K7" s="2" t="s">
        <v>50</v>
      </c>
      <c r="L7" s="2" t="s">
        <v>36</v>
      </c>
      <c r="M7" s="1">
        <v>44746</v>
      </c>
      <c r="N7" s="4">
        <f t="shared" si="4"/>
        <v>119.98</v>
      </c>
      <c r="O7" s="2">
        <f t="shared" ca="1" si="0"/>
        <v>4</v>
      </c>
      <c r="P7" s="13">
        <f t="shared" ca="1" si="1"/>
        <v>46305</v>
      </c>
      <c r="Q7" s="16">
        <f t="shared" ca="1" si="2"/>
        <v>0</v>
      </c>
      <c r="R7" s="1">
        <f t="shared" si="3"/>
        <v>44773</v>
      </c>
    </row>
    <row r="8" spans="1:18" x14ac:dyDescent="0.25">
      <c r="A8" s="2" t="s">
        <v>51</v>
      </c>
      <c r="B8" s="1">
        <v>45403</v>
      </c>
      <c r="C8" s="2" t="s">
        <v>48</v>
      </c>
      <c r="D8" s="2" t="s">
        <v>49</v>
      </c>
      <c r="E8" s="2" t="s">
        <v>52</v>
      </c>
      <c r="F8" s="2" t="s">
        <v>53</v>
      </c>
      <c r="G8" s="2" t="s">
        <v>19</v>
      </c>
      <c r="H8" s="3">
        <v>5</v>
      </c>
      <c r="I8" s="4">
        <v>149.99</v>
      </c>
      <c r="J8" s="2" t="s">
        <v>26</v>
      </c>
      <c r="K8" s="2" t="s">
        <v>21</v>
      </c>
      <c r="L8" s="2" t="s">
        <v>36</v>
      </c>
      <c r="M8" s="1">
        <v>44418</v>
      </c>
      <c r="N8" s="4">
        <f t="shared" si="4"/>
        <v>749.95</v>
      </c>
      <c r="O8" s="2">
        <f t="shared" ca="1" si="0"/>
        <v>5</v>
      </c>
      <c r="P8" s="13">
        <f t="shared" ca="1" si="1"/>
        <v>46305</v>
      </c>
      <c r="Q8" s="16">
        <f t="shared" ca="1" si="2"/>
        <v>0</v>
      </c>
      <c r="R8" s="1">
        <f t="shared" si="3"/>
        <v>44439</v>
      </c>
    </row>
    <row r="9" spans="1:18" x14ac:dyDescent="0.25">
      <c r="A9" s="2" t="s">
        <v>54</v>
      </c>
      <c r="B9" s="1">
        <v>45403</v>
      </c>
      <c r="C9" s="2" t="s">
        <v>55</v>
      </c>
      <c r="D9" s="2" t="s">
        <v>56</v>
      </c>
      <c r="E9" s="2" t="s">
        <v>31</v>
      </c>
      <c r="F9" s="2" t="s">
        <v>32</v>
      </c>
      <c r="G9" s="2" t="s">
        <v>33</v>
      </c>
      <c r="H9" s="3">
        <v>3</v>
      </c>
      <c r="I9" s="4">
        <v>59.99</v>
      </c>
      <c r="J9" s="2" t="s">
        <v>57</v>
      </c>
      <c r="K9" s="2" t="s">
        <v>35</v>
      </c>
      <c r="L9" s="2" t="s">
        <v>22</v>
      </c>
      <c r="M9" s="1">
        <v>45007</v>
      </c>
      <c r="N9" s="4">
        <f t="shared" si="4"/>
        <v>179.97</v>
      </c>
      <c r="O9" s="2">
        <f t="shared" ca="1" si="0"/>
        <v>3</v>
      </c>
      <c r="P9" s="13">
        <f t="shared" ca="1" si="1"/>
        <v>46305</v>
      </c>
      <c r="Q9" s="16">
        <f t="shared" ca="1" si="2"/>
        <v>0</v>
      </c>
      <c r="R9" s="1">
        <f t="shared" si="3"/>
        <v>45016</v>
      </c>
    </row>
    <row r="10" spans="1:18" x14ac:dyDescent="0.25">
      <c r="A10" s="2" t="s">
        <v>58</v>
      </c>
      <c r="B10" s="1">
        <v>45405</v>
      </c>
      <c r="C10" s="2" t="s">
        <v>59</v>
      </c>
      <c r="D10" s="2" t="s">
        <v>60</v>
      </c>
      <c r="E10" s="2" t="s">
        <v>61</v>
      </c>
      <c r="F10" s="2" t="s">
        <v>62</v>
      </c>
      <c r="G10" s="2" t="s">
        <v>19</v>
      </c>
      <c r="H10" s="3">
        <v>3</v>
      </c>
      <c r="I10" s="4">
        <v>899.99</v>
      </c>
      <c r="J10" s="2" t="s">
        <v>34</v>
      </c>
      <c r="K10" s="2" t="s">
        <v>63</v>
      </c>
      <c r="L10" s="2" t="s">
        <v>36</v>
      </c>
      <c r="M10" s="1">
        <v>45299</v>
      </c>
      <c r="N10" s="4">
        <f t="shared" si="4"/>
        <v>2699.9700000000003</v>
      </c>
      <c r="O10" s="2">
        <f t="shared" ca="1" si="0"/>
        <v>2</v>
      </c>
      <c r="P10" s="13">
        <f t="shared" ca="1" si="1"/>
        <v>46305</v>
      </c>
      <c r="Q10" s="16">
        <f t="shared" ca="1" si="2"/>
        <v>0</v>
      </c>
      <c r="R10" s="1">
        <f t="shared" si="3"/>
        <v>45322</v>
      </c>
    </row>
    <row r="11" spans="1:18" x14ac:dyDescent="0.25">
      <c r="A11" s="2" t="s">
        <v>64</v>
      </c>
      <c r="B11" s="1">
        <v>45408</v>
      </c>
      <c r="C11" s="2" t="s">
        <v>65</v>
      </c>
      <c r="D11" s="2" t="s">
        <v>66</v>
      </c>
      <c r="E11" s="2" t="s">
        <v>31</v>
      </c>
      <c r="F11" s="2" t="s">
        <v>32</v>
      </c>
      <c r="G11" s="2" t="s">
        <v>33</v>
      </c>
      <c r="H11" s="3">
        <v>3</v>
      </c>
      <c r="I11" s="4">
        <v>59.99</v>
      </c>
      <c r="J11" s="2" t="s">
        <v>20</v>
      </c>
      <c r="K11" s="2" t="s">
        <v>50</v>
      </c>
      <c r="L11" s="2" t="s">
        <v>27</v>
      </c>
      <c r="M11" s="1">
        <v>45207</v>
      </c>
      <c r="N11" s="4">
        <f t="shared" si="4"/>
        <v>179.97</v>
      </c>
      <c r="O11" s="2">
        <f t="shared" ca="1" si="0"/>
        <v>3</v>
      </c>
      <c r="P11" s="13">
        <f t="shared" ca="1" si="1"/>
        <v>46305</v>
      </c>
      <c r="Q11" s="16">
        <f t="shared" ca="1" si="2"/>
        <v>0</v>
      </c>
      <c r="R11" s="1">
        <f t="shared" si="3"/>
        <v>45230</v>
      </c>
    </row>
    <row r="12" spans="1:18" x14ac:dyDescent="0.25">
      <c r="A12" s="2" t="s">
        <v>67</v>
      </c>
      <c r="B12" s="1">
        <v>45408</v>
      </c>
      <c r="C12" s="2" t="s">
        <v>68</v>
      </c>
      <c r="D12" s="2" t="s">
        <v>69</v>
      </c>
      <c r="E12" s="2" t="s">
        <v>44</v>
      </c>
      <c r="F12" s="2" t="s">
        <v>45</v>
      </c>
      <c r="G12" s="2" t="s">
        <v>46</v>
      </c>
      <c r="H12" s="3">
        <v>1</v>
      </c>
      <c r="I12" s="4">
        <v>149.99</v>
      </c>
      <c r="J12" s="2" t="s">
        <v>26</v>
      </c>
      <c r="K12" s="2" t="s">
        <v>50</v>
      </c>
      <c r="L12" s="2" t="s">
        <v>36</v>
      </c>
      <c r="M12" s="1">
        <v>45103</v>
      </c>
      <c r="N12" s="4">
        <f t="shared" si="4"/>
        <v>149.99</v>
      </c>
      <c r="O12" s="2">
        <f t="shared" ca="1" si="0"/>
        <v>3</v>
      </c>
      <c r="P12" s="13">
        <f t="shared" ca="1" si="1"/>
        <v>46305</v>
      </c>
      <c r="Q12" s="16">
        <f t="shared" ca="1" si="2"/>
        <v>0</v>
      </c>
      <c r="R12" s="1">
        <f t="shared" si="3"/>
        <v>45107</v>
      </c>
    </row>
    <row r="13" spans="1:18" ht="15" customHeight="1" x14ac:dyDescent="0.25">
      <c r="A13" s="2" t="s">
        <v>70</v>
      </c>
      <c r="B13" s="1">
        <v>45408</v>
      </c>
      <c r="C13" s="2" t="s">
        <v>38</v>
      </c>
      <c r="D13" s="2" t="s">
        <v>39</v>
      </c>
      <c r="E13" s="2" t="s">
        <v>44</v>
      </c>
      <c r="F13" s="2" t="s">
        <v>45</v>
      </c>
      <c r="G13" s="2" t="s">
        <v>46</v>
      </c>
      <c r="H13" s="3">
        <v>5</v>
      </c>
      <c r="I13" s="4">
        <v>149.99</v>
      </c>
      <c r="J13" s="2" t="s">
        <v>57</v>
      </c>
      <c r="K13" s="2" t="s">
        <v>40</v>
      </c>
      <c r="L13" s="2" t="s">
        <v>22</v>
      </c>
      <c r="M13" s="1">
        <v>44830</v>
      </c>
      <c r="N13" s="4">
        <f t="shared" si="4"/>
        <v>749.95</v>
      </c>
      <c r="O13" s="2">
        <f t="shared" ca="1" si="0"/>
        <v>4</v>
      </c>
      <c r="P13" s="13">
        <f t="shared" ca="1" si="1"/>
        <v>46305</v>
      </c>
      <c r="Q13" s="16">
        <f t="shared" ca="1" si="2"/>
        <v>0</v>
      </c>
      <c r="R13" s="1">
        <f t="shared" si="3"/>
        <v>44834</v>
      </c>
    </row>
    <row r="14" spans="1:18" x14ac:dyDescent="0.25">
      <c r="A14" s="2" t="s">
        <v>71</v>
      </c>
      <c r="B14" s="1">
        <v>45408</v>
      </c>
      <c r="C14" s="2" t="s">
        <v>72</v>
      </c>
      <c r="D14" s="2" t="s">
        <v>73</v>
      </c>
      <c r="E14" s="2" t="s">
        <v>44</v>
      </c>
      <c r="F14" s="2" t="s">
        <v>45</v>
      </c>
      <c r="G14" s="2" t="s">
        <v>46</v>
      </c>
      <c r="H14" s="3">
        <v>3</v>
      </c>
      <c r="I14" s="4">
        <v>149.99</v>
      </c>
      <c r="J14" s="2" t="s">
        <v>20</v>
      </c>
      <c r="K14" s="2" t="s">
        <v>40</v>
      </c>
      <c r="L14" s="2" t="s">
        <v>27</v>
      </c>
      <c r="M14" s="1">
        <v>44806</v>
      </c>
      <c r="N14" s="4">
        <f t="shared" si="4"/>
        <v>449.97</v>
      </c>
      <c r="O14" s="2">
        <f t="shared" ca="1" si="0"/>
        <v>4</v>
      </c>
      <c r="P14" s="13">
        <f t="shared" ca="1" si="1"/>
        <v>46305</v>
      </c>
      <c r="Q14" s="16">
        <f t="shared" ca="1" si="2"/>
        <v>0</v>
      </c>
      <c r="R14" s="1">
        <f t="shared" si="3"/>
        <v>44834</v>
      </c>
    </row>
    <row r="15" spans="1:18" x14ac:dyDescent="0.25">
      <c r="A15" s="2" t="s">
        <v>74</v>
      </c>
      <c r="B15" s="1">
        <v>45409</v>
      </c>
      <c r="C15" s="2" t="s">
        <v>75</v>
      </c>
      <c r="D15" s="2" t="s">
        <v>76</v>
      </c>
      <c r="E15" s="2" t="s">
        <v>31</v>
      </c>
      <c r="F15" s="2" t="s">
        <v>32</v>
      </c>
      <c r="G15" s="2" t="s">
        <v>33</v>
      </c>
      <c r="H15" s="3">
        <v>3</v>
      </c>
      <c r="I15" s="4">
        <v>59.99</v>
      </c>
      <c r="J15" s="2" t="s">
        <v>26</v>
      </c>
      <c r="K15" s="2" t="s">
        <v>40</v>
      </c>
      <c r="L15" s="2" t="s">
        <v>36</v>
      </c>
      <c r="M15" s="1">
        <v>45351</v>
      </c>
      <c r="N15" s="4">
        <f t="shared" si="4"/>
        <v>179.97</v>
      </c>
      <c r="O15" s="2">
        <f t="shared" ca="1" si="0"/>
        <v>2</v>
      </c>
      <c r="P15" s="13">
        <f t="shared" ca="1" si="1"/>
        <v>46305</v>
      </c>
      <c r="Q15" s="16">
        <f t="shared" ca="1" si="2"/>
        <v>0</v>
      </c>
      <c r="R15" s="1">
        <f t="shared" si="3"/>
        <v>45351</v>
      </c>
    </row>
    <row r="16" spans="1:18" x14ac:dyDescent="0.25">
      <c r="A16" s="2" t="s">
        <v>77</v>
      </c>
      <c r="B16" s="1">
        <v>45409</v>
      </c>
      <c r="C16" s="2" t="s">
        <v>78</v>
      </c>
      <c r="D16" s="2" t="s">
        <v>79</v>
      </c>
      <c r="E16" s="2" t="s">
        <v>80</v>
      </c>
      <c r="F16" s="2" t="s">
        <v>81</v>
      </c>
      <c r="G16" s="2" t="s">
        <v>19</v>
      </c>
      <c r="H16" s="3">
        <v>3</v>
      </c>
      <c r="I16" s="4">
        <v>699.99</v>
      </c>
      <c r="J16" s="2" t="s">
        <v>26</v>
      </c>
      <c r="K16" s="2" t="s">
        <v>50</v>
      </c>
      <c r="L16" s="2" t="s">
        <v>22</v>
      </c>
      <c r="M16" s="1">
        <v>44577</v>
      </c>
      <c r="N16" s="4">
        <f t="shared" si="4"/>
        <v>2099.9700000000003</v>
      </c>
      <c r="O16" s="2">
        <f t="shared" ca="1" si="0"/>
        <v>4</v>
      </c>
      <c r="P16" s="13">
        <f t="shared" ca="1" si="1"/>
        <v>46305</v>
      </c>
      <c r="Q16" s="16">
        <f t="shared" ca="1" si="2"/>
        <v>0</v>
      </c>
      <c r="R16" s="1">
        <f t="shared" si="3"/>
        <v>44592</v>
      </c>
    </row>
    <row r="17" spans="1:18" x14ac:dyDescent="0.25">
      <c r="A17" s="2" t="s">
        <v>82</v>
      </c>
      <c r="B17" s="1">
        <v>45409</v>
      </c>
      <c r="C17" s="2" t="s">
        <v>83</v>
      </c>
      <c r="D17" s="2" t="s">
        <v>84</v>
      </c>
      <c r="E17" s="2" t="s">
        <v>61</v>
      </c>
      <c r="F17" s="2" t="s">
        <v>62</v>
      </c>
      <c r="G17" s="2" t="s">
        <v>19</v>
      </c>
      <c r="H17" s="3">
        <v>1</v>
      </c>
      <c r="I17" s="4">
        <v>899.99</v>
      </c>
      <c r="J17" s="2" t="s">
        <v>57</v>
      </c>
      <c r="K17" s="2" t="s">
        <v>40</v>
      </c>
      <c r="L17" s="2" t="s">
        <v>36</v>
      </c>
      <c r="M17" s="1">
        <v>44920</v>
      </c>
      <c r="N17" s="4">
        <f t="shared" si="4"/>
        <v>899.99</v>
      </c>
      <c r="O17" s="2">
        <f t="shared" ca="1" si="0"/>
        <v>3</v>
      </c>
      <c r="P17" s="13">
        <f t="shared" ca="1" si="1"/>
        <v>46305</v>
      </c>
      <c r="Q17" s="16">
        <f t="shared" ca="1" si="2"/>
        <v>0</v>
      </c>
      <c r="R17" s="1">
        <f t="shared" si="3"/>
        <v>44926</v>
      </c>
    </row>
    <row r="18" spans="1:18" x14ac:dyDescent="0.25">
      <c r="A18" s="2" t="s">
        <v>85</v>
      </c>
      <c r="B18" s="1">
        <v>45410</v>
      </c>
      <c r="C18" s="2" t="s">
        <v>86</v>
      </c>
      <c r="D18" s="2" t="s">
        <v>87</v>
      </c>
      <c r="E18" s="2" t="s">
        <v>44</v>
      </c>
      <c r="F18" s="2" t="s">
        <v>45</v>
      </c>
      <c r="G18" s="2" t="s">
        <v>46</v>
      </c>
      <c r="H18" s="3">
        <v>4</v>
      </c>
      <c r="I18" s="4">
        <v>149.99</v>
      </c>
      <c r="J18" s="2" t="s">
        <v>57</v>
      </c>
      <c r="K18" s="2" t="s">
        <v>40</v>
      </c>
      <c r="L18" s="2" t="s">
        <v>27</v>
      </c>
      <c r="M18" s="1">
        <v>45374</v>
      </c>
      <c r="N18" s="4">
        <f t="shared" si="4"/>
        <v>599.96</v>
      </c>
      <c r="O18" s="2">
        <f t="shared" ca="1" si="0"/>
        <v>2</v>
      </c>
      <c r="P18" s="13">
        <f t="shared" ca="1" si="1"/>
        <v>46305</v>
      </c>
      <c r="Q18" s="16">
        <f t="shared" ca="1" si="2"/>
        <v>0</v>
      </c>
      <c r="R18" s="1">
        <f t="shared" si="3"/>
        <v>45382</v>
      </c>
    </row>
    <row r="19" spans="1:18" x14ac:dyDescent="0.25">
      <c r="A19" s="2" t="s">
        <v>88</v>
      </c>
      <c r="B19" s="1">
        <v>45410</v>
      </c>
      <c r="C19" s="2" t="s">
        <v>89</v>
      </c>
      <c r="D19" s="2" t="s">
        <v>90</v>
      </c>
      <c r="E19" s="2" t="s">
        <v>80</v>
      </c>
      <c r="F19" s="2" t="s">
        <v>81</v>
      </c>
      <c r="G19" s="2" t="s">
        <v>19</v>
      </c>
      <c r="H19" s="3">
        <v>2</v>
      </c>
      <c r="I19" s="4">
        <v>699.99</v>
      </c>
      <c r="J19" s="2" t="s">
        <v>20</v>
      </c>
      <c r="K19" s="2" t="s">
        <v>40</v>
      </c>
      <c r="L19" s="2" t="s">
        <v>22</v>
      </c>
      <c r="M19" s="1">
        <v>44781</v>
      </c>
      <c r="N19" s="4">
        <f t="shared" si="4"/>
        <v>1399.98</v>
      </c>
      <c r="O19" s="2">
        <f t="shared" ca="1" si="0"/>
        <v>4</v>
      </c>
      <c r="P19" s="13">
        <f t="shared" ca="1" si="1"/>
        <v>46305</v>
      </c>
      <c r="Q19" s="16">
        <f t="shared" ca="1" si="2"/>
        <v>0</v>
      </c>
      <c r="R19" s="1">
        <f t="shared" si="3"/>
        <v>44804</v>
      </c>
    </row>
    <row r="20" spans="1:18" x14ac:dyDescent="0.25">
      <c r="A20" s="2" t="s">
        <v>91</v>
      </c>
      <c r="B20" s="1">
        <v>45410</v>
      </c>
      <c r="C20" s="2" t="s">
        <v>86</v>
      </c>
      <c r="D20" s="2" t="s">
        <v>87</v>
      </c>
      <c r="E20" s="2" t="s">
        <v>61</v>
      </c>
      <c r="F20" s="2" t="s">
        <v>62</v>
      </c>
      <c r="G20" s="2" t="s">
        <v>19</v>
      </c>
      <c r="H20" s="3">
        <v>4</v>
      </c>
      <c r="I20" s="4">
        <v>899.99</v>
      </c>
      <c r="J20" s="2" t="s">
        <v>26</v>
      </c>
      <c r="K20" s="2" t="s">
        <v>50</v>
      </c>
      <c r="L20" s="2" t="s">
        <v>36</v>
      </c>
      <c r="M20" s="1">
        <v>45327</v>
      </c>
      <c r="N20" s="4">
        <f t="shared" si="4"/>
        <v>3599.96</v>
      </c>
      <c r="O20" s="2">
        <f t="shared" ca="1" si="0"/>
        <v>2</v>
      </c>
      <c r="P20" s="13">
        <f t="shared" ca="1" si="1"/>
        <v>46305</v>
      </c>
      <c r="Q20" s="16">
        <f t="shared" ca="1" si="2"/>
        <v>0</v>
      </c>
      <c r="R20" s="1">
        <f t="shared" si="3"/>
        <v>45351</v>
      </c>
    </row>
    <row r="21" spans="1:18" x14ac:dyDescent="0.25">
      <c r="A21" s="2" t="s">
        <v>92</v>
      </c>
      <c r="B21" s="1">
        <v>45410</v>
      </c>
      <c r="C21" s="2" t="s">
        <v>93</v>
      </c>
      <c r="D21" s="2" t="s">
        <v>94</v>
      </c>
      <c r="E21" s="2" t="s">
        <v>17</v>
      </c>
      <c r="F21" s="2" t="s">
        <v>18</v>
      </c>
      <c r="G21" s="2" t="s">
        <v>19</v>
      </c>
      <c r="H21" s="3">
        <v>3</v>
      </c>
      <c r="I21" s="4">
        <v>249.99</v>
      </c>
      <c r="J21" s="2" t="s">
        <v>26</v>
      </c>
      <c r="K21" s="2" t="s">
        <v>40</v>
      </c>
      <c r="L21" s="2" t="s">
        <v>27</v>
      </c>
      <c r="M21" s="1">
        <v>45224</v>
      </c>
      <c r="N21" s="4">
        <f t="shared" si="4"/>
        <v>749.97</v>
      </c>
      <c r="O21" s="2">
        <f t="shared" ca="1" si="0"/>
        <v>2</v>
      </c>
      <c r="P21" s="13">
        <f t="shared" ca="1" si="1"/>
        <v>46305</v>
      </c>
      <c r="Q21" s="16">
        <f t="shared" ca="1" si="2"/>
        <v>0</v>
      </c>
      <c r="R21" s="1">
        <f t="shared" si="3"/>
        <v>45230</v>
      </c>
    </row>
    <row r="22" spans="1:18" x14ac:dyDescent="0.25">
      <c r="A22" s="2" t="s">
        <v>95</v>
      </c>
      <c r="B22" s="1">
        <v>45412</v>
      </c>
      <c r="C22" s="2" t="s">
        <v>96</v>
      </c>
      <c r="D22" s="2" t="s">
        <v>97</v>
      </c>
      <c r="E22" s="2" t="s">
        <v>80</v>
      </c>
      <c r="F22" s="2" t="s">
        <v>81</v>
      </c>
      <c r="G22" s="2" t="s">
        <v>19</v>
      </c>
      <c r="H22" s="3">
        <v>5</v>
      </c>
      <c r="I22" s="4">
        <v>699.99</v>
      </c>
      <c r="J22" s="2" t="s">
        <v>20</v>
      </c>
      <c r="K22" s="2" t="s">
        <v>50</v>
      </c>
      <c r="L22" s="2" t="s">
        <v>22</v>
      </c>
      <c r="M22" s="1">
        <v>45167</v>
      </c>
      <c r="N22" s="4">
        <f t="shared" si="4"/>
        <v>3499.95</v>
      </c>
      <c r="O22" s="2">
        <f t="shared" ca="1" si="0"/>
        <v>3</v>
      </c>
      <c r="P22" s="13">
        <f t="shared" ca="1" si="1"/>
        <v>46305</v>
      </c>
      <c r="Q22" s="16">
        <f t="shared" ca="1" si="2"/>
        <v>0</v>
      </c>
      <c r="R22" s="1">
        <f t="shared" si="3"/>
        <v>45169</v>
      </c>
    </row>
    <row r="23" spans="1:18" x14ac:dyDescent="0.25">
      <c r="A23" s="2" t="s">
        <v>98</v>
      </c>
      <c r="B23" s="1">
        <v>45413</v>
      </c>
      <c r="C23" s="2" t="s">
        <v>99</v>
      </c>
      <c r="D23" s="2" t="s">
        <v>100</v>
      </c>
      <c r="E23" s="2" t="s">
        <v>80</v>
      </c>
      <c r="F23" s="2" t="s">
        <v>81</v>
      </c>
      <c r="G23" s="2" t="s">
        <v>19</v>
      </c>
      <c r="H23" s="3">
        <v>4</v>
      </c>
      <c r="I23" s="4">
        <v>699.99</v>
      </c>
      <c r="J23" s="2" t="s">
        <v>20</v>
      </c>
      <c r="K23" s="2" t="s">
        <v>63</v>
      </c>
      <c r="L23" s="2" t="s">
        <v>36</v>
      </c>
      <c r="M23" s="1">
        <v>44409</v>
      </c>
      <c r="N23" s="4">
        <f t="shared" si="4"/>
        <v>2799.96</v>
      </c>
      <c r="O23" s="2">
        <f t="shared" ca="1" si="0"/>
        <v>5</v>
      </c>
      <c r="P23" s="13">
        <f t="shared" ca="1" si="1"/>
        <v>46305</v>
      </c>
      <c r="Q23" s="16">
        <f t="shared" ca="1" si="2"/>
        <v>0</v>
      </c>
      <c r="R23" s="1">
        <f t="shared" si="3"/>
        <v>44439</v>
      </c>
    </row>
    <row r="24" spans="1:18" x14ac:dyDescent="0.25">
      <c r="A24" s="2" t="s">
        <v>101</v>
      </c>
      <c r="B24" s="1">
        <v>45415</v>
      </c>
      <c r="C24" s="2" t="s">
        <v>102</v>
      </c>
      <c r="D24" s="2" t="s">
        <v>103</v>
      </c>
      <c r="E24" s="2" t="s">
        <v>17</v>
      </c>
      <c r="F24" s="2" t="s">
        <v>18</v>
      </c>
      <c r="G24" s="2" t="s">
        <v>19</v>
      </c>
      <c r="H24" s="3">
        <v>4</v>
      </c>
      <c r="I24" s="4">
        <v>249.99</v>
      </c>
      <c r="J24" s="2" t="s">
        <v>34</v>
      </c>
      <c r="K24" s="2" t="s">
        <v>40</v>
      </c>
      <c r="L24" s="2" t="s">
        <v>36</v>
      </c>
      <c r="M24" s="1">
        <v>44468</v>
      </c>
      <c r="N24" s="4">
        <f t="shared" si="4"/>
        <v>999.96</v>
      </c>
      <c r="O24" s="2">
        <f t="shared" ca="1" si="0"/>
        <v>5</v>
      </c>
      <c r="P24" s="13">
        <f t="shared" ca="1" si="1"/>
        <v>46305</v>
      </c>
      <c r="Q24" s="16">
        <f t="shared" ca="1" si="2"/>
        <v>0</v>
      </c>
      <c r="R24" s="1">
        <f t="shared" si="3"/>
        <v>44469</v>
      </c>
    </row>
    <row r="25" spans="1:18" x14ac:dyDescent="0.25">
      <c r="A25" s="2" t="s">
        <v>104</v>
      </c>
      <c r="B25" s="1">
        <v>45416</v>
      </c>
      <c r="C25" s="2" t="s">
        <v>86</v>
      </c>
      <c r="D25" s="2" t="s">
        <v>87</v>
      </c>
      <c r="E25" s="2" t="s">
        <v>105</v>
      </c>
      <c r="F25" s="2" t="s">
        <v>106</v>
      </c>
      <c r="G25" s="2" t="s">
        <v>46</v>
      </c>
      <c r="H25" s="3">
        <v>4</v>
      </c>
      <c r="I25" s="4">
        <v>299.99</v>
      </c>
      <c r="J25" s="2" t="s">
        <v>20</v>
      </c>
      <c r="K25" s="2" t="s">
        <v>50</v>
      </c>
      <c r="L25" s="2" t="s">
        <v>27</v>
      </c>
      <c r="M25" s="1">
        <v>44716</v>
      </c>
      <c r="N25" s="4">
        <f t="shared" si="4"/>
        <v>1199.96</v>
      </c>
      <c r="O25" s="2">
        <f t="shared" ca="1" si="0"/>
        <v>4</v>
      </c>
      <c r="P25" s="13">
        <f t="shared" ca="1" si="1"/>
        <v>46305</v>
      </c>
      <c r="Q25" s="16">
        <f t="shared" ca="1" si="2"/>
        <v>0</v>
      </c>
      <c r="R25" s="1">
        <f t="shared" si="3"/>
        <v>44742</v>
      </c>
    </row>
    <row r="26" spans="1:18" x14ac:dyDescent="0.25">
      <c r="A26" s="2" t="s">
        <v>107</v>
      </c>
      <c r="B26" s="1">
        <v>45422</v>
      </c>
      <c r="C26" s="2" t="s">
        <v>108</v>
      </c>
      <c r="D26" s="2" t="s">
        <v>109</v>
      </c>
      <c r="E26" s="2" t="s">
        <v>17</v>
      </c>
      <c r="F26" s="2" t="s">
        <v>18</v>
      </c>
      <c r="G26" s="2" t="s">
        <v>19</v>
      </c>
      <c r="H26" s="3">
        <v>5</v>
      </c>
      <c r="I26" s="4">
        <v>249.99</v>
      </c>
      <c r="J26" s="2" t="s">
        <v>26</v>
      </c>
      <c r="K26" s="2" t="s">
        <v>50</v>
      </c>
      <c r="L26" s="2" t="s">
        <v>36</v>
      </c>
      <c r="M26" s="1">
        <v>44525</v>
      </c>
      <c r="N26" s="4">
        <f t="shared" si="4"/>
        <v>1249.95</v>
      </c>
      <c r="O26" s="2">
        <f t="shared" ca="1" si="0"/>
        <v>4</v>
      </c>
      <c r="P26" s="13">
        <f t="shared" ca="1" si="1"/>
        <v>46305</v>
      </c>
      <c r="Q26" s="16">
        <f t="shared" ca="1" si="2"/>
        <v>0</v>
      </c>
      <c r="R26" s="1">
        <f t="shared" si="3"/>
        <v>44530</v>
      </c>
    </row>
    <row r="27" spans="1:18" x14ac:dyDescent="0.25">
      <c r="A27" s="2" t="s">
        <v>110</v>
      </c>
      <c r="B27" s="1">
        <v>45424</v>
      </c>
      <c r="C27" s="2" t="s">
        <v>68</v>
      </c>
      <c r="D27" s="2" t="s">
        <v>69</v>
      </c>
      <c r="E27" s="2" t="s">
        <v>105</v>
      </c>
      <c r="F27" s="2" t="s">
        <v>106</v>
      </c>
      <c r="G27" s="2" t="s">
        <v>46</v>
      </c>
      <c r="H27" s="3">
        <v>5</v>
      </c>
      <c r="I27" s="4">
        <v>299.99</v>
      </c>
      <c r="J27" s="2" t="s">
        <v>34</v>
      </c>
      <c r="K27" s="2" t="s">
        <v>63</v>
      </c>
      <c r="L27" s="2" t="s">
        <v>22</v>
      </c>
      <c r="M27" s="1">
        <v>45168</v>
      </c>
      <c r="N27" s="4">
        <f t="shared" si="4"/>
        <v>1499.95</v>
      </c>
      <c r="O27" s="2">
        <f t="shared" ca="1" si="0"/>
        <v>3</v>
      </c>
      <c r="P27" s="13">
        <f t="shared" ca="1" si="1"/>
        <v>46305</v>
      </c>
      <c r="Q27" s="16">
        <f t="shared" ca="1" si="2"/>
        <v>0</v>
      </c>
      <c r="R27" s="1">
        <f t="shared" si="3"/>
        <v>45169</v>
      </c>
    </row>
    <row r="28" spans="1:18" x14ac:dyDescent="0.25">
      <c r="A28" s="2" t="s">
        <v>111</v>
      </c>
      <c r="B28" s="1">
        <v>45424</v>
      </c>
      <c r="C28" s="2" t="s">
        <v>112</v>
      </c>
      <c r="D28" s="2" t="s">
        <v>113</v>
      </c>
      <c r="E28" s="2" t="s">
        <v>114</v>
      </c>
      <c r="F28" s="2" t="s">
        <v>115</v>
      </c>
      <c r="G28" s="2" t="s">
        <v>33</v>
      </c>
      <c r="H28" s="3">
        <v>3</v>
      </c>
      <c r="I28" s="4">
        <v>79.989999999999995</v>
      </c>
      <c r="J28" s="2" t="s">
        <v>34</v>
      </c>
      <c r="K28" s="2" t="s">
        <v>63</v>
      </c>
      <c r="L28" s="2" t="s">
        <v>27</v>
      </c>
      <c r="M28" s="1">
        <v>45012</v>
      </c>
      <c r="N28" s="4">
        <f t="shared" si="4"/>
        <v>239.96999999999997</v>
      </c>
      <c r="O28" s="2">
        <f t="shared" ca="1" si="0"/>
        <v>3</v>
      </c>
      <c r="P28" s="13">
        <f t="shared" ca="1" si="1"/>
        <v>46305</v>
      </c>
      <c r="Q28" s="16">
        <f t="shared" ca="1" si="2"/>
        <v>0</v>
      </c>
      <c r="R28" s="1">
        <f t="shared" si="3"/>
        <v>45016</v>
      </c>
    </row>
    <row r="29" spans="1:18" x14ac:dyDescent="0.25">
      <c r="A29" s="2" t="s">
        <v>116</v>
      </c>
      <c r="B29" s="1">
        <v>45424</v>
      </c>
      <c r="C29" s="2" t="s">
        <v>99</v>
      </c>
      <c r="D29" s="2" t="s">
        <v>100</v>
      </c>
      <c r="E29" s="2" t="s">
        <v>117</v>
      </c>
      <c r="F29" s="2" t="s">
        <v>118</v>
      </c>
      <c r="G29" s="2" t="s">
        <v>19</v>
      </c>
      <c r="H29" s="3">
        <v>5</v>
      </c>
      <c r="I29" s="4">
        <v>89.99</v>
      </c>
      <c r="J29" s="2" t="s">
        <v>20</v>
      </c>
      <c r="K29" s="2" t="s">
        <v>40</v>
      </c>
      <c r="L29" s="2" t="s">
        <v>27</v>
      </c>
      <c r="M29" s="1">
        <v>44919</v>
      </c>
      <c r="N29" s="4">
        <f t="shared" si="4"/>
        <v>449.95</v>
      </c>
      <c r="O29" s="2">
        <f t="shared" ca="1" si="0"/>
        <v>3</v>
      </c>
      <c r="P29" s="13">
        <f t="shared" ca="1" si="1"/>
        <v>46305</v>
      </c>
      <c r="Q29" s="16">
        <f t="shared" ca="1" si="2"/>
        <v>0</v>
      </c>
      <c r="R29" s="1">
        <f t="shared" si="3"/>
        <v>44926</v>
      </c>
    </row>
    <row r="30" spans="1:18" x14ac:dyDescent="0.25">
      <c r="A30" s="2" t="s">
        <v>119</v>
      </c>
      <c r="B30" s="1">
        <v>45425</v>
      </c>
      <c r="C30" s="2" t="s">
        <v>120</v>
      </c>
      <c r="D30" s="2" t="s">
        <v>121</v>
      </c>
      <c r="E30" s="2" t="s">
        <v>31</v>
      </c>
      <c r="F30" s="2" t="s">
        <v>32</v>
      </c>
      <c r="G30" s="2" t="s">
        <v>33</v>
      </c>
      <c r="H30" s="3">
        <v>2</v>
      </c>
      <c r="I30" s="4">
        <v>59.99</v>
      </c>
      <c r="J30" s="2" t="s">
        <v>57</v>
      </c>
      <c r="K30" s="2" t="s">
        <v>21</v>
      </c>
      <c r="L30" s="2" t="s">
        <v>36</v>
      </c>
      <c r="M30" s="1">
        <v>45214</v>
      </c>
      <c r="N30" s="4">
        <f t="shared" si="4"/>
        <v>119.98</v>
      </c>
      <c r="O30" s="2">
        <f t="shared" ca="1" si="0"/>
        <v>2</v>
      </c>
      <c r="P30" s="13">
        <f t="shared" ca="1" si="1"/>
        <v>46305</v>
      </c>
      <c r="Q30" s="16">
        <f t="shared" ca="1" si="2"/>
        <v>0</v>
      </c>
      <c r="R30" s="1">
        <f t="shared" si="3"/>
        <v>45230</v>
      </c>
    </row>
    <row r="31" spans="1:18" x14ac:dyDescent="0.25">
      <c r="A31" s="2" t="s">
        <v>122</v>
      </c>
      <c r="B31" s="1">
        <v>45427</v>
      </c>
      <c r="C31" s="2" t="s">
        <v>123</v>
      </c>
      <c r="D31" s="2" t="s">
        <v>124</v>
      </c>
      <c r="E31" s="2" t="s">
        <v>31</v>
      </c>
      <c r="F31" s="2" t="s">
        <v>32</v>
      </c>
      <c r="G31" s="2" t="s">
        <v>33</v>
      </c>
      <c r="H31" s="3">
        <v>4</v>
      </c>
      <c r="I31" s="4">
        <v>59.99</v>
      </c>
      <c r="J31" s="2" t="s">
        <v>57</v>
      </c>
      <c r="K31" s="2" t="s">
        <v>63</v>
      </c>
      <c r="L31" s="2" t="s">
        <v>36</v>
      </c>
      <c r="M31" s="1">
        <v>44867</v>
      </c>
      <c r="N31" s="4">
        <f t="shared" si="4"/>
        <v>239.96</v>
      </c>
      <c r="O31" s="2">
        <f t="shared" ca="1" si="0"/>
        <v>3</v>
      </c>
      <c r="P31" s="13">
        <f t="shared" ca="1" si="1"/>
        <v>46305</v>
      </c>
      <c r="Q31" s="16">
        <f t="shared" ca="1" si="2"/>
        <v>0</v>
      </c>
      <c r="R31" s="1">
        <f t="shared" si="3"/>
        <v>44895</v>
      </c>
    </row>
    <row r="32" spans="1:18" x14ac:dyDescent="0.25">
      <c r="A32" s="2" t="s">
        <v>125</v>
      </c>
      <c r="B32" s="1">
        <v>45427</v>
      </c>
      <c r="C32" s="2" t="s">
        <v>55</v>
      </c>
      <c r="D32" s="2" t="s">
        <v>56</v>
      </c>
      <c r="E32" s="2" t="s">
        <v>126</v>
      </c>
      <c r="F32" s="2" t="s">
        <v>127</v>
      </c>
      <c r="G32" s="2" t="s">
        <v>46</v>
      </c>
      <c r="H32" s="3">
        <v>5</v>
      </c>
      <c r="I32" s="4">
        <v>199.99</v>
      </c>
      <c r="J32" s="2" t="s">
        <v>20</v>
      </c>
      <c r="K32" s="2" t="s">
        <v>35</v>
      </c>
      <c r="L32" s="2" t="s">
        <v>36</v>
      </c>
      <c r="M32" s="1">
        <v>44412</v>
      </c>
      <c r="N32" s="4">
        <f t="shared" si="4"/>
        <v>999.95</v>
      </c>
      <c r="O32" s="2">
        <f t="shared" ca="1" si="0"/>
        <v>5</v>
      </c>
      <c r="P32" s="13">
        <f t="shared" ca="1" si="1"/>
        <v>46305</v>
      </c>
      <c r="Q32" s="16">
        <f t="shared" ca="1" si="2"/>
        <v>0</v>
      </c>
      <c r="R32" s="1">
        <f t="shared" si="3"/>
        <v>44439</v>
      </c>
    </row>
    <row r="33" spans="1:18" x14ac:dyDescent="0.25">
      <c r="A33" s="2" t="s">
        <v>128</v>
      </c>
      <c r="B33" s="1">
        <v>45428</v>
      </c>
      <c r="C33" s="2" t="s">
        <v>129</v>
      </c>
      <c r="D33" s="2" t="s">
        <v>130</v>
      </c>
      <c r="E33" s="2" t="s">
        <v>44</v>
      </c>
      <c r="F33" s="2" t="s">
        <v>45</v>
      </c>
      <c r="G33" s="2" t="s">
        <v>46</v>
      </c>
      <c r="H33" s="3">
        <v>2</v>
      </c>
      <c r="I33" s="4">
        <v>149.99</v>
      </c>
      <c r="J33" s="2" t="s">
        <v>26</v>
      </c>
      <c r="K33" s="2" t="s">
        <v>50</v>
      </c>
      <c r="L33" s="2" t="s">
        <v>22</v>
      </c>
      <c r="M33" s="1">
        <v>44823</v>
      </c>
      <c r="N33" s="4">
        <f t="shared" si="4"/>
        <v>299.98</v>
      </c>
      <c r="O33" s="2">
        <f t="shared" ca="1" si="0"/>
        <v>4</v>
      </c>
      <c r="P33" s="13">
        <f t="shared" ca="1" si="1"/>
        <v>46305</v>
      </c>
      <c r="Q33" s="16">
        <f t="shared" ca="1" si="2"/>
        <v>0</v>
      </c>
      <c r="R33" s="1">
        <f t="shared" si="3"/>
        <v>44834</v>
      </c>
    </row>
    <row r="34" spans="1:18" x14ac:dyDescent="0.25">
      <c r="A34" s="2" t="s">
        <v>131</v>
      </c>
      <c r="B34" s="1">
        <v>45430</v>
      </c>
      <c r="C34" s="2" t="s">
        <v>132</v>
      </c>
      <c r="D34" s="2" t="s">
        <v>133</v>
      </c>
      <c r="E34" s="2" t="s">
        <v>44</v>
      </c>
      <c r="F34" s="2" t="s">
        <v>45</v>
      </c>
      <c r="G34" s="2" t="s">
        <v>46</v>
      </c>
      <c r="H34" s="3">
        <v>3</v>
      </c>
      <c r="I34" s="4">
        <v>149.99</v>
      </c>
      <c r="J34" s="2" t="s">
        <v>26</v>
      </c>
      <c r="K34" s="2" t="s">
        <v>50</v>
      </c>
      <c r="L34" s="2" t="s">
        <v>27</v>
      </c>
      <c r="M34" s="1">
        <v>45068</v>
      </c>
      <c r="N34" s="4">
        <f t="shared" si="4"/>
        <v>449.97</v>
      </c>
      <c r="O34" s="2">
        <f t="shared" ca="1" si="0"/>
        <v>3</v>
      </c>
      <c r="P34" s="13">
        <f t="shared" ca="1" si="1"/>
        <v>46305</v>
      </c>
      <c r="Q34" s="16">
        <f t="shared" ca="1" si="2"/>
        <v>0</v>
      </c>
      <c r="R34" s="1">
        <f t="shared" si="3"/>
        <v>45077</v>
      </c>
    </row>
    <row r="35" spans="1:18" x14ac:dyDescent="0.25">
      <c r="A35" s="2" t="s">
        <v>134</v>
      </c>
      <c r="B35" s="1">
        <v>45432</v>
      </c>
      <c r="C35" s="2" t="s">
        <v>29</v>
      </c>
      <c r="D35" s="2" t="s">
        <v>30</v>
      </c>
      <c r="E35" s="2" t="s">
        <v>61</v>
      </c>
      <c r="F35" s="2" t="s">
        <v>62</v>
      </c>
      <c r="G35" s="2" t="s">
        <v>19</v>
      </c>
      <c r="H35" s="3">
        <v>1</v>
      </c>
      <c r="I35" s="4">
        <v>899.99</v>
      </c>
      <c r="J35" s="2" t="s">
        <v>26</v>
      </c>
      <c r="K35" s="2" t="s">
        <v>50</v>
      </c>
      <c r="L35" s="2" t="s">
        <v>27</v>
      </c>
      <c r="M35" s="1">
        <v>44578</v>
      </c>
      <c r="N35" s="4">
        <f t="shared" si="4"/>
        <v>899.99</v>
      </c>
      <c r="O35" s="2">
        <f t="shared" ca="1" si="0"/>
        <v>4</v>
      </c>
      <c r="P35" s="13">
        <f t="shared" ca="1" si="1"/>
        <v>46305</v>
      </c>
      <c r="Q35" s="16">
        <f t="shared" ca="1" si="2"/>
        <v>0</v>
      </c>
      <c r="R35" s="1">
        <f t="shared" si="3"/>
        <v>44592</v>
      </c>
    </row>
    <row r="36" spans="1:18" x14ac:dyDescent="0.25">
      <c r="A36" s="2" t="s">
        <v>135</v>
      </c>
      <c r="B36" s="1">
        <v>45434</v>
      </c>
      <c r="C36" s="2" t="s">
        <v>99</v>
      </c>
      <c r="D36" s="2" t="s">
        <v>100</v>
      </c>
      <c r="E36" s="2" t="s">
        <v>105</v>
      </c>
      <c r="F36" s="2" t="s">
        <v>106</v>
      </c>
      <c r="G36" s="2" t="s">
        <v>46</v>
      </c>
      <c r="H36" s="3">
        <v>3</v>
      </c>
      <c r="I36" s="4">
        <v>299.99</v>
      </c>
      <c r="J36" s="2" t="s">
        <v>26</v>
      </c>
      <c r="K36" s="2" t="s">
        <v>63</v>
      </c>
      <c r="L36" s="2" t="s">
        <v>22</v>
      </c>
      <c r="M36" s="1">
        <v>44824</v>
      </c>
      <c r="N36" s="4">
        <f t="shared" si="4"/>
        <v>899.97</v>
      </c>
      <c r="O36" s="2">
        <f t="shared" ca="1" si="0"/>
        <v>4</v>
      </c>
      <c r="P36" s="13">
        <f t="shared" ca="1" si="1"/>
        <v>46305</v>
      </c>
      <c r="Q36" s="16">
        <f t="shared" ca="1" si="2"/>
        <v>0</v>
      </c>
      <c r="R36" s="1">
        <f t="shared" si="3"/>
        <v>44834</v>
      </c>
    </row>
    <row r="37" spans="1:18" x14ac:dyDescent="0.25">
      <c r="A37" s="2" t="s">
        <v>136</v>
      </c>
      <c r="B37" s="1">
        <v>45435</v>
      </c>
      <c r="C37" s="2" t="s">
        <v>129</v>
      </c>
      <c r="D37" s="2" t="s">
        <v>130</v>
      </c>
      <c r="E37" s="2" t="s">
        <v>114</v>
      </c>
      <c r="F37" s="2" t="s">
        <v>115</v>
      </c>
      <c r="G37" s="2" t="s">
        <v>33</v>
      </c>
      <c r="H37" s="3">
        <v>3</v>
      </c>
      <c r="I37" s="4">
        <v>79.989999999999995</v>
      </c>
      <c r="J37" s="2" t="s">
        <v>20</v>
      </c>
      <c r="K37" s="2" t="s">
        <v>35</v>
      </c>
      <c r="L37" s="2" t="s">
        <v>22</v>
      </c>
      <c r="M37" s="1">
        <v>45046</v>
      </c>
      <c r="N37" s="4">
        <f t="shared" si="4"/>
        <v>239.96999999999997</v>
      </c>
      <c r="O37" s="2">
        <f t="shared" ca="1" si="0"/>
        <v>3</v>
      </c>
      <c r="P37" s="13">
        <f t="shared" ca="1" si="1"/>
        <v>46305</v>
      </c>
      <c r="Q37" s="16">
        <f t="shared" ca="1" si="2"/>
        <v>0</v>
      </c>
      <c r="R37" s="1">
        <f t="shared" si="3"/>
        <v>45046</v>
      </c>
    </row>
    <row r="38" spans="1:18" x14ac:dyDescent="0.25">
      <c r="A38" s="2" t="s">
        <v>137</v>
      </c>
      <c r="B38" s="1">
        <v>45438</v>
      </c>
      <c r="C38" s="2" t="s">
        <v>138</v>
      </c>
      <c r="D38" s="2" t="s">
        <v>139</v>
      </c>
      <c r="E38" s="2" t="s">
        <v>126</v>
      </c>
      <c r="F38" s="2" t="s">
        <v>127</v>
      </c>
      <c r="G38" s="2" t="s">
        <v>46</v>
      </c>
      <c r="H38" s="3">
        <v>3</v>
      </c>
      <c r="I38" s="4">
        <v>199.99</v>
      </c>
      <c r="J38" s="2" t="s">
        <v>26</v>
      </c>
      <c r="K38" s="2" t="s">
        <v>40</v>
      </c>
      <c r="L38" s="2" t="s">
        <v>27</v>
      </c>
      <c r="M38" s="1">
        <v>45292</v>
      </c>
      <c r="N38" s="4">
        <f t="shared" si="4"/>
        <v>599.97</v>
      </c>
      <c r="O38" s="2">
        <f t="shared" ca="1" si="0"/>
        <v>2</v>
      </c>
      <c r="P38" s="13">
        <f t="shared" ca="1" si="1"/>
        <v>46305</v>
      </c>
      <c r="Q38" s="16">
        <f t="shared" ca="1" si="2"/>
        <v>0</v>
      </c>
      <c r="R38" s="1">
        <f t="shared" si="3"/>
        <v>45322</v>
      </c>
    </row>
    <row r="39" spans="1:18" x14ac:dyDescent="0.25">
      <c r="A39" s="2" t="s">
        <v>140</v>
      </c>
      <c r="B39" s="1">
        <v>45440</v>
      </c>
      <c r="C39" s="2" t="s">
        <v>141</v>
      </c>
      <c r="D39" s="2" t="s">
        <v>142</v>
      </c>
      <c r="E39" s="2" t="s">
        <v>80</v>
      </c>
      <c r="F39" s="2" t="s">
        <v>81</v>
      </c>
      <c r="G39" s="2" t="s">
        <v>19</v>
      </c>
      <c r="H39" s="3">
        <v>5</v>
      </c>
      <c r="I39" s="4">
        <v>699.99</v>
      </c>
      <c r="J39" s="2" t="s">
        <v>34</v>
      </c>
      <c r="K39" s="2" t="s">
        <v>50</v>
      </c>
      <c r="L39" s="2" t="s">
        <v>36</v>
      </c>
      <c r="M39" s="1">
        <v>44407</v>
      </c>
      <c r="N39" s="4">
        <f t="shared" si="4"/>
        <v>3499.95</v>
      </c>
      <c r="O39" s="2">
        <f t="shared" ca="1" si="0"/>
        <v>5</v>
      </c>
      <c r="P39" s="13">
        <f t="shared" ca="1" si="1"/>
        <v>46305</v>
      </c>
      <c r="Q39" s="16">
        <f t="shared" ca="1" si="2"/>
        <v>0</v>
      </c>
      <c r="R39" s="1">
        <f t="shared" si="3"/>
        <v>44408</v>
      </c>
    </row>
    <row r="40" spans="1:18" x14ac:dyDescent="0.25">
      <c r="A40" s="2" t="s">
        <v>143</v>
      </c>
      <c r="B40" s="1">
        <v>45441</v>
      </c>
      <c r="C40" s="2" t="s">
        <v>144</v>
      </c>
      <c r="D40" s="2" t="s">
        <v>145</v>
      </c>
      <c r="E40" s="2" t="s">
        <v>117</v>
      </c>
      <c r="F40" s="2" t="s">
        <v>118</v>
      </c>
      <c r="G40" s="2" t="s">
        <v>19</v>
      </c>
      <c r="H40" s="3">
        <v>3</v>
      </c>
      <c r="I40" s="4">
        <v>89.99</v>
      </c>
      <c r="J40" s="2" t="s">
        <v>34</v>
      </c>
      <c r="K40" s="2" t="s">
        <v>21</v>
      </c>
      <c r="L40" s="2" t="s">
        <v>27</v>
      </c>
      <c r="M40" s="1">
        <v>45120</v>
      </c>
      <c r="N40" s="4">
        <f t="shared" si="4"/>
        <v>269.96999999999997</v>
      </c>
      <c r="O40" s="2">
        <f t="shared" ca="1" si="0"/>
        <v>3</v>
      </c>
      <c r="P40" s="13">
        <f t="shared" ca="1" si="1"/>
        <v>46305</v>
      </c>
      <c r="Q40" s="16">
        <f t="shared" ca="1" si="2"/>
        <v>0</v>
      </c>
      <c r="R40" s="1">
        <f t="shared" si="3"/>
        <v>45138</v>
      </c>
    </row>
    <row r="41" spans="1:18" x14ac:dyDescent="0.25">
      <c r="A41" s="2" t="s">
        <v>146</v>
      </c>
      <c r="B41" s="1">
        <v>45443</v>
      </c>
      <c r="C41" s="2" t="s">
        <v>147</v>
      </c>
      <c r="D41" s="2" t="s">
        <v>148</v>
      </c>
      <c r="E41" s="2" t="s">
        <v>114</v>
      </c>
      <c r="F41" s="2" t="s">
        <v>115</v>
      </c>
      <c r="G41" s="2" t="s">
        <v>33</v>
      </c>
      <c r="H41" s="3">
        <v>1</v>
      </c>
      <c r="I41" s="4">
        <v>79.989999999999995</v>
      </c>
      <c r="J41" s="2" t="s">
        <v>20</v>
      </c>
      <c r="K41" s="2" t="s">
        <v>40</v>
      </c>
      <c r="L41" s="2" t="s">
        <v>36</v>
      </c>
      <c r="M41" s="1">
        <v>44917</v>
      </c>
      <c r="N41" s="4">
        <f t="shared" si="4"/>
        <v>79.989999999999995</v>
      </c>
      <c r="O41" s="2">
        <f t="shared" ca="1" si="0"/>
        <v>3</v>
      </c>
      <c r="P41" s="13">
        <f t="shared" ca="1" si="1"/>
        <v>46305</v>
      </c>
      <c r="Q41" s="16">
        <f t="shared" ca="1" si="2"/>
        <v>0</v>
      </c>
      <c r="R41" s="1">
        <f t="shared" si="3"/>
        <v>44926</v>
      </c>
    </row>
    <row r="42" spans="1:18" x14ac:dyDescent="0.25">
      <c r="A42" s="2" t="s">
        <v>149</v>
      </c>
      <c r="B42" s="1">
        <v>45444</v>
      </c>
      <c r="C42" s="2" t="s">
        <v>150</v>
      </c>
      <c r="D42" s="2" t="s">
        <v>151</v>
      </c>
      <c r="E42" s="2" t="s">
        <v>31</v>
      </c>
      <c r="F42" s="2" t="s">
        <v>32</v>
      </c>
      <c r="G42" s="2" t="s">
        <v>33</v>
      </c>
      <c r="H42" s="3">
        <v>2</v>
      </c>
      <c r="I42" s="4">
        <v>59.99</v>
      </c>
      <c r="J42" s="2" t="s">
        <v>20</v>
      </c>
      <c r="K42" s="2" t="s">
        <v>50</v>
      </c>
      <c r="L42" s="2" t="s">
        <v>22</v>
      </c>
      <c r="M42" s="1">
        <v>45390</v>
      </c>
      <c r="N42" s="4">
        <f t="shared" si="4"/>
        <v>119.98</v>
      </c>
      <c r="O42" s="2">
        <f t="shared" ca="1" si="0"/>
        <v>2</v>
      </c>
      <c r="P42" s="13">
        <f t="shared" ca="1" si="1"/>
        <v>46305</v>
      </c>
      <c r="Q42" s="16">
        <f t="shared" ca="1" si="2"/>
        <v>0</v>
      </c>
      <c r="R42" s="1">
        <f t="shared" si="3"/>
        <v>45412</v>
      </c>
    </row>
    <row r="43" spans="1:18" x14ac:dyDescent="0.25">
      <c r="A43" s="2" t="s">
        <v>152</v>
      </c>
      <c r="B43" s="1">
        <v>45444</v>
      </c>
      <c r="C43" s="2" t="s">
        <v>55</v>
      </c>
      <c r="D43" s="2" t="s">
        <v>56</v>
      </c>
      <c r="E43" s="2" t="s">
        <v>117</v>
      </c>
      <c r="F43" s="2" t="s">
        <v>118</v>
      </c>
      <c r="G43" s="2" t="s">
        <v>19</v>
      </c>
      <c r="H43" s="3">
        <v>1</v>
      </c>
      <c r="I43" s="4">
        <v>89.99</v>
      </c>
      <c r="J43" s="2" t="s">
        <v>20</v>
      </c>
      <c r="K43" s="2" t="s">
        <v>40</v>
      </c>
      <c r="L43" s="2" t="s">
        <v>22</v>
      </c>
      <c r="M43" s="1">
        <v>45141</v>
      </c>
      <c r="N43" s="4">
        <f t="shared" si="4"/>
        <v>89.99</v>
      </c>
      <c r="O43" s="2">
        <f t="shared" ca="1" si="0"/>
        <v>3</v>
      </c>
      <c r="P43" s="13">
        <f t="shared" ca="1" si="1"/>
        <v>46305</v>
      </c>
      <c r="Q43" s="16">
        <f t="shared" ca="1" si="2"/>
        <v>0</v>
      </c>
      <c r="R43" s="1">
        <f t="shared" si="3"/>
        <v>45169</v>
      </c>
    </row>
    <row r="44" spans="1:18" x14ac:dyDescent="0.25">
      <c r="A44" s="2" t="s">
        <v>153</v>
      </c>
      <c r="B44" s="1">
        <v>45446</v>
      </c>
      <c r="C44" s="2" t="s">
        <v>154</v>
      </c>
      <c r="D44" s="2" t="s">
        <v>155</v>
      </c>
      <c r="E44" s="2" t="s">
        <v>117</v>
      </c>
      <c r="F44" s="2" t="s">
        <v>118</v>
      </c>
      <c r="G44" s="2" t="s">
        <v>19</v>
      </c>
      <c r="H44" s="3">
        <v>5</v>
      </c>
      <c r="I44" s="4">
        <v>89.99</v>
      </c>
      <c r="J44" s="2" t="s">
        <v>26</v>
      </c>
      <c r="K44" s="2" t="s">
        <v>63</v>
      </c>
      <c r="L44" s="2" t="s">
        <v>36</v>
      </c>
      <c r="M44" s="1">
        <v>44587</v>
      </c>
      <c r="N44" s="4">
        <f t="shared" si="4"/>
        <v>449.95</v>
      </c>
      <c r="O44" s="2">
        <f t="shared" ca="1" si="0"/>
        <v>4</v>
      </c>
      <c r="P44" s="13">
        <f t="shared" ca="1" si="1"/>
        <v>46305</v>
      </c>
      <c r="Q44" s="16">
        <f t="shared" ca="1" si="2"/>
        <v>0</v>
      </c>
      <c r="R44" s="1">
        <f t="shared" si="3"/>
        <v>44592</v>
      </c>
    </row>
    <row r="45" spans="1:18" x14ac:dyDescent="0.25">
      <c r="A45" s="2" t="s">
        <v>156</v>
      </c>
      <c r="B45" s="1">
        <v>45449</v>
      </c>
      <c r="C45" s="2" t="s">
        <v>24</v>
      </c>
      <c r="D45" s="2" t="s">
        <v>25</v>
      </c>
      <c r="E45" s="2" t="s">
        <v>17</v>
      </c>
      <c r="F45" s="2" t="s">
        <v>18</v>
      </c>
      <c r="G45" s="2" t="s">
        <v>19</v>
      </c>
      <c r="H45" s="3">
        <v>5</v>
      </c>
      <c r="I45" s="4">
        <v>249.99</v>
      </c>
      <c r="J45" s="2" t="s">
        <v>26</v>
      </c>
      <c r="K45" s="2" t="s">
        <v>63</v>
      </c>
      <c r="L45" s="2" t="s">
        <v>36</v>
      </c>
      <c r="M45" s="1">
        <v>44707</v>
      </c>
      <c r="N45" s="4">
        <f t="shared" si="4"/>
        <v>1249.95</v>
      </c>
      <c r="O45" s="2">
        <f t="shared" ca="1" si="0"/>
        <v>4</v>
      </c>
      <c r="P45" s="13">
        <f t="shared" ca="1" si="1"/>
        <v>46305</v>
      </c>
      <c r="Q45" s="16">
        <f t="shared" ca="1" si="2"/>
        <v>0</v>
      </c>
      <c r="R45" s="1">
        <f t="shared" si="3"/>
        <v>44712</v>
      </c>
    </row>
    <row r="46" spans="1:18" x14ac:dyDescent="0.25">
      <c r="A46" s="2" t="s">
        <v>157</v>
      </c>
      <c r="B46" s="1">
        <v>45449</v>
      </c>
      <c r="C46" s="2" t="s">
        <v>158</v>
      </c>
      <c r="D46" s="2" t="s">
        <v>159</v>
      </c>
      <c r="E46" s="2" t="s">
        <v>117</v>
      </c>
      <c r="F46" s="2" t="s">
        <v>118</v>
      </c>
      <c r="G46" s="2" t="s">
        <v>19</v>
      </c>
      <c r="H46" s="3">
        <v>1</v>
      </c>
      <c r="I46" s="4">
        <v>89.99</v>
      </c>
      <c r="J46" s="2" t="s">
        <v>26</v>
      </c>
      <c r="K46" s="2" t="s">
        <v>35</v>
      </c>
      <c r="L46" s="2" t="s">
        <v>36</v>
      </c>
      <c r="M46" s="1">
        <v>44582</v>
      </c>
      <c r="N46" s="4">
        <f t="shared" si="4"/>
        <v>89.99</v>
      </c>
      <c r="O46" s="2">
        <f t="shared" ca="1" si="0"/>
        <v>4</v>
      </c>
      <c r="P46" s="13">
        <f t="shared" ca="1" si="1"/>
        <v>46305</v>
      </c>
      <c r="Q46" s="16">
        <f t="shared" ca="1" si="2"/>
        <v>0</v>
      </c>
      <c r="R46" s="1">
        <f t="shared" si="3"/>
        <v>44592</v>
      </c>
    </row>
    <row r="47" spans="1:18" x14ac:dyDescent="0.25">
      <c r="A47" s="2" t="s">
        <v>160</v>
      </c>
      <c r="B47" s="1">
        <v>45450</v>
      </c>
      <c r="C47" s="2" t="s">
        <v>42</v>
      </c>
      <c r="D47" s="2" t="s">
        <v>43</v>
      </c>
      <c r="E47" s="2" t="s">
        <v>44</v>
      </c>
      <c r="F47" s="2" t="s">
        <v>45</v>
      </c>
      <c r="G47" s="2" t="s">
        <v>46</v>
      </c>
      <c r="H47" s="3">
        <v>2</v>
      </c>
      <c r="I47" s="4">
        <v>149.99</v>
      </c>
      <c r="J47" s="2" t="s">
        <v>20</v>
      </c>
      <c r="K47" s="2" t="s">
        <v>63</v>
      </c>
      <c r="L47" s="2" t="s">
        <v>27</v>
      </c>
      <c r="M47" s="1">
        <v>44645</v>
      </c>
      <c r="N47" s="4">
        <f t="shared" si="4"/>
        <v>299.98</v>
      </c>
      <c r="O47" s="2">
        <f t="shared" ca="1" si="0"/>
        <v>4</v>
      </c>
      <c r="P47" s="13">
        <f t="shared" ca="1" si="1"/>
        <v>46305</v>
      </c>
      <c r="Q47" s="16">
        <f t="shared" ca="1" si="2"/>
        <v>0</v>
      </c>
      <c r="R47" s="1">
        <f t="shared" si="3"/>
        <v>44651</v>
      </c>
    </row>
    <row r="48" spans="1:18" x14ac:dyDescent="0.25">
      <c r="A48" s="2" t="s">
        <v>161</v>
      </c>
      <c r="B48" s="1">
        <v>45452</v>
      </c>
      <c r="C48" s="2" t="s">
        <v>162</v>
      </c>
      <c r="D48" s="2" t="s">
        <v>163</v>
      </c>
      <c r="E48" s="2" t="s">
        <v>31</v>
      </c>
      <c r="F48" s="2" t="s">
        <v>32</v>
      </c>
      <c r="G48" s="2" t="s">
        <v>33</v>
      </c>
      <c r="H48" s="3">
        <v>4</v>
      </c>
      <c r="I48" s="4">
        <v>59.99</v>
      </c>
      <c r="J48" s="2" t="s">
        <v>20</v>
      </c>
      <c r="K48" s="2" t="s">
        <v>63</v>
      </c>
      <c r="L48" s="2" t="s">
        <v>36</v>
      </c>
      <c r="M48" s="1">
        <v>44435</v>
      </c>
      <c r="N48" s="4">
        <f t="shared" si="4"/>
        <v>239.96</v>
      </c>
      <c r="O48" s="2">
        <f t="shared" ca="1" si="0"/>
        <v>5</v>
      </c>
      <c r="P48" s="13">
        <f t="shared" ca="1" si="1"/>
        <v>46305</v>
      </c>
      <c r="Q48" s="16">
        <f t="shared" ca="1" si="2"/>
        <v>0</v>
      </c>
      <c r="R48" s="1">
        <f t="shared" si="3"/>
        <v>44439</v>
      </c>
    </row>
    <row r="49" spans="1:18" x14ac:dyDescent="0.25">
      <c r="A49" s="2" t="s">
        <v>164</v>
      </c>
      <c r="B49" s="1">
        <v>45456</v>
      </c>
      <c r="C49" s="2" t="s">
        <v>129</v>
      </c>
      <c r="D49" s="2" t="s">
        <v>130</v>
      </c>
      <c r="E49" s="2" t="s">
        <v>117</v>
      </c>
      <c r="F49" s="2" t="s">
        <v>118</v>
      </c>
      <c r="G49" s="2" t="s">
        <v>19</v>
      </c>
      <c r="H49" s="3">
        <v>5</v>
      </c>
      <c r="I49" s="4">
        <v>89.99</v>
      </c>
      <c r="J49" s="2" t="s">
        <v>20</v>
      </c>
      <c r="K49" s="2" t="s">
        <v>21</v>
      </c>
      <c r="L49" s="2" t="s">
        <v>27</v>
      </c>
      <c r="M49" s="1">
        <v>44579</v>
      </c>
      <c r="N49" s="4">
        <f t="shared" si="4"/>
        <v>449.95</v>
      </c>
      <c r="O49" s="2">
        <f t="shared" ca="1" si="0"/>
        <v>4</v>
      </c>
      <c r="P49" s="13">
        <f t="shared" ca="1" si="1"/>
        <v>46305</v>
      </c>
      <c r="Q49" s="16">
        <f t="shared" ca="1" si="2"/>
        <v>0</v>
      </c>
      <c r="R49" s="1">
        <f t="shared" si="3"/>
        <v>44592</v>
      </c>
    </row>
    <row r="50" spans="1:18" x14ac:dyDescent="0.25">
      <c r="A50" s="2" t="s">
        <v>165</v>
      </c>
      <c r="B50" s="1">
        <v>45459</v>
      </c>
      <c r="C50" s="2" t="s">
        <v>99</v>
      </c>
      <c r="D50" s="2" t="s">
        <v>100</v>
      </c>
      <c r="E50" s="2" t="s">
        <v>117</v>
      </c>
      <c r="F50" s="2" t="s">
        <v>118</v>
      </c>
      <c r="G50" s="2" t="s">
        <v>19</v>
      </c>
      <c r="H50" s="3">
        <v>2</v>
      </c>
      <c r="I50" s="4">
        <v>89.99</v>
      </c>
      <c r="J50" s="2" t="s">
        <v>26</v>
      </c>
      <c r="K50" s="2" t="s">
        <v>35</v>
      </c>
      <c r="L50" s="2" t="s">
        <v>27</v>
      </c>
      <c r="M50" s="1">
        <v>44471</v>
      </c>
      <c r="N50" s="4">
        <f t="shared" si="4"/>
        <v>179.98</v>
      </c>
      <c r="O50" s="2">
        <f t="shared" ca="1" si="0"/>
        <v>5</v>
      </c>
      <c r="P50" s="13">
        <f t="shared" ca="1" si="1"/>
        <v>46305</v>
      </c>
      <c r="Q50" s="16">
        <f t="shared" ca="1" si="2"/>
        <v>0</v>
      </c>
      <c r="R50" s="1">
        <f t="shared" si="3"/>
        <v>44500</v>
      </c>
    </row>
    <row r="51" spans="1:18" x14ac:dyDescent="0.25">
      <c r="A51" s="2" t="s">
        <v>166</v>
      </c>
      <c r="B51" s="1">
        <v>45459</v>
      </c>
      <c r="C51" s="2" t="s">
        <v>15</v>
      </c>
      <c r="D51" s="2" t="s">
        <v>16</v>
      </c>
      <c r="E51" s="2" t="s">
        <v>61</v>
      </c>
      <c r="F51" s="2" t="s">
        <v>62</v>
      </c>
      <c r="G51" s="2" t="s">
        <v>19</v>
      </c>
      <c r="H51" s="3">
        <v>5</v>
      </c>
      <c r="I51" s="4">
        <v>899.99</v>
      </c>
      <c r="J51" s="2" t="s">
        <v>26</v>
      </c>
      <c r="K51" s="2" t="s">
        <v>35</v>
      </c>
      <c r="L51" s="2" t="s">
        <v>36</v>
      </c>
      <c r="M51" s="1">
        <v>44974</v>
      </c>
      <c r="N51" s="4">
        <f t="shared" si="4"/>
        <v>4499.95</v>
      </c>
      <c r="O51" s="2">
        <f t="shared" ca="1" si="0"/>
        <v>3</v>
      </c>
      <c r="P51" s="13">
        <f t="shared" ca="1" si="1"/>
        <v>46305</v>
      </c>
      <c r="Q51" s="16">
        <f t="shared" ca="1" si="2"/>
        <v>0</v>
      </c>
      <c r="R51" s="1">
        <f t="shared" si="3"/>
        <v>44985</v>
      </c>
    </row>
    <row r="52" spans="1:18" x14ac:dyDescent="0.25">
      <c r="A52" s="2" t="s">
        <v>167</v>
      </c>
      <c r="B52" s="1">
        <v>45459</v>
      </c>
      <c r="C52" s="2" t="s">
        <v>123</v>
      </c>
      <c r="D52" s="2" t="s">
        <v>124</v>
      </c>
      <c r="E52" s="2" t="s">
        <v>61</v>
      </c>
      <c r="F52" s="2" t="s">
        <v>62</v>
      </c>
      <c r="G52" s="2" t="s">
        <v>19</v>
      </c>
      <c r="H52" s="3">
        <v>5</v>
      </c>
      <c r="I52" s="4">
        <v>899.99</v>
      </c>
      <c r="J52" s="2" t="s">
        <v>34</v>
      </c>
      <c r="K52" s="2" t="s">
        <v>63</v>
      </c>
      <c r="L52" s="2" t="s">
        <v>27</v>
      </c>
      <c r="M52" s="1">
        <v>45278</v>
      </c>
      <c r="N52" s="4">
        <f t="shared" si="4"/>
        <v>4499.95</v>
      </c>
      <c r="O52" s="2">
        <f t="shared" ca="1" si="0"/>
        <v>2</v>
      </c>
      <c r="P52" s="13">
        <f t="shared" ca="1" si="1"/>
        <v>46305</v>
      </c>
      <c r="Q52" s="16">
        <f t="shared" ca="1" si="2"/>
        <v>0</v>
      </c>
      <c r="R52" s="1">
        <f t="shared" si="3"/>
        <v>45291</v>
      </c>
    </row>
    <row r="53" spans="1:18" x14ac:dyDescent="0.25">
      <c r="A53" s="2" t="s">
        <v>168</v>
      </c>
      <c r="B53" s="1">
        <v>45460</v>
      </c>
      <c r="C53" s="2" t="s">
        <v>158</v>
      </c>
      <c r="D53" s="2" t="s">
        <v>159</v>
      </c>
      <c r="E53" s="2" t="s">
        <v>31</v>
      </c>
      <c r="F53" s="2" t="s">
        <v>32</v>
      </c>
      <c r="G53" s="2" t="s">
        <v>33</v>
      </c>
      <c r="H53" s="3">
        <v>1</v>
      </c>
      <c r="I53" s="4">
        <v>59.99</v>
      </c>
      <c r="J53" s="2" t="s">
        <v>57</v>
      </c>
      <c r="K53" s="2" t="s">
        <v>50</v>
      </c>
      <c r="L53" s="2" t="s">
        <v>27</v>
      </c>
      <c r="M53" s="1">
        <v>45190</v>
      </c>
      <c r="N53" s="4">
        <f t="shared" si="4"/>
        <v>59.99</v>
      </c>
      <c r="O53" s="2">
        <f t="shared" ca="1" si="0"/>
        <v>3</v>
      </c>
      <c r="P53" s="13">
        <f t="shared" ca="1" si="1"/>
        <v>46305</v>
      </c>
      <c r="Q53" s="16">
        <f t="shared" ca="1" si="2"/>
        <v>0</v>
      </c>
      <c r="R53" s="1">
        <f t="shared" si="3"/>
        <v>45199</v>
      </c>
    </row>
    <row r="54" spans="1:18" x14ac:dyDescent="0.25">
      <c r="A54" s="2" t="s">
        <v>169</v>
      </c>
      <c r="B54" s="1">
        <v>45460</v>
      </c>
      <c r="C54" s="2" t="s">
        <v>141</v>
      </c>
      <c r="D54" s="2" t="s">
        <v>142</v>
      </c>
      <c r="E54" s="2" t="s">
        <v>105</v>
      </c>
      <c r="F54" s="2" t="s">
        <v>106</v>
      </c>
      <c r="G54" s="2" t="s">
        <v>46</v>
      </c>
      <c r="H54" s="3">
        <v>2</v>
      </c>
      <c r="I54" s="4">
        <v>299.99</v>
      </c>
      <c r="J54" s="2" t="s">
        <v>57</v>
      </c>
      <c r="K54" s="2" t="s">
        <v>63</v>
      </c>
      <c r="L54" s="2" t="s">
        <v>36</v>
      </c>
      <c r="M54" s="1">
        <v>45253</v>
      </c>
      <c r="N54" s="4">
        <f t="shared" si="4"/>
        <v>599.98</v>
      </c>
      <c r="O54" s="2">
        <f t="shared" ca="1" si="0"/>
        <v>2</v>
      </c>
      <c r="P54" s="13">
        <f t="shared" ca="1" si="1"/>
        <v>46305</v>
      </c>
      <c r="Q54" s="16">
        <f t="shared" ca="1" si="2"/>
        <v>0</v>
      </c>
      <c r="R54" s="1">
        <f t="shared" si="3"/>
        <v>45260</v>
      </c>
    </row>
    <row r="55" spans="1:18" x14ac:dyDescent="0.25">
      <c r="A55" s="2" t="s">
        <v>170</v>
      </c>
      <c r="B55" s="1">
        <v>45468</v>
      </c>
      <c r="C55" s="2" t="s">
        <v>171</v>
      </c>
      <c r="D55" s="2" t="s">
        <v>172</v>
      </c>
      <c r="E55" s="2" t="s">
        <v>117</v>
      </c>
      <c r="F55" s="2" t="s">
        <v>118</v>
      </c>
      <c r="G55" s="2" t="s">
        <v>19</v>
      </c>
      <c r="H55" s="3">
        <v>4</v>
      </c>
      <c r="I55" s="4">
        <v>89.99</v>
      </c>
      <c r="J55" s="2" t="s">
        <v>57</v>
      </c>
      <c r="K55" s="2" t="s">
        <v>35</v>
      </c>
      <c r="L55" s="2" t="s">
        <v>22</v>
      </c>
      <c r="M55" s="1">
        <v>45281</v>
      </c>
      <c r="N55" s="4">
        <f t="shared" si="4"/>
        <v>359.96</v>
      </c>
      <c r="O55" s="2">
        <f t="shared" ca="1" si="0"/>
        <v>2</v>
      </c>
      <c r="P55" s="13">
        <f t="shared" ca="1" si="1"/>
        <v>46305</v>
      </c>
      <c r="Q55" s="16">
        <f t="shared" ca="1" si="2"/>
        <v>0</v>
      </c>
      <c r="R55" s="1">
        <f t="shared" si="3"/>
        <v>45291</v>
      </c>
    </row>
    <row r="56" spans="1:18" x14ac:dyDescent="0.25">
      <c r="A56" s="2" t="s">
        <v>173</v>
      </c>
      <c r="B56" s="1">
        <v>45469</v>
      </c>
      <c r="C56" s="2" t="s">
        <v>29</v>
      </c>
      <c r="D56" s="2" t="s">
        <v>30</v>
      </c>
      <c r="E56" s="2" t="s">
        <v>114</v>
      </c>
      <c r="F56" s="2" t="s">
        <v>115</v>
      </c>
      <c r="G56" s="2" t="s">
        <v>33</v>
      </c>
      <c r="H56" s="3">
        <v>1</v>
      </c>
      <c r="I56" s="4">
        <v>79.989999999999995</v>
      </c>
      <c r="J56" s="2" t="s">
        <v>34</v>
      </c>
      <c r="K56" s="2" t="s">
        <v>21</v>
      </c>
      <c r="L56" s="2" t="s">
        <v>27</v>
      </c>
      <c r="M56" s="1">
        <v>45352</v>
      </c>
      <c r="N56" s="4">
        <f t="shared" si="4"/>
        <v>79.989999999999995</v>
      </c>
      <c r="O56" s="2">
        <f t="shared" ca="1" si="0"/>
        <v>2</v>
      </c>
      <c r="P56" s="13">
        <f t="shared" ca="1" si="1"/>
        <v>46305</v>
      </c>
      <c r="Q56" s="16">
        <f t="shared" ca="1" si="2"/>
        <v>0</v>
      </c>
      <c r="R56" s="1">
        <f t="shared" si="3"/>
        <v>45382</v>
      </c>
    </row>
    <row r="57" spans="1:18" x14ac:dyDescent="0.25">
      <c r="A57" s="2" t="s">
        <v>174</v>
      </c>
      <c r="B57" s="1">
        <v>45469</v>
      </c>
      <c r="C57" s="2" t="s">
        <v>59</v>
      </c>
      <c r="D57" s="2" t="s">
        <v>60</v>
      </c>
      <c r="E57" s="2" t="s">
        <v>117</v>
      </c>
      <c r="F57" s="2" t="s">
        <v>118</v>
      </c>
      <c r="G57" s="2" t="s">
        <v>19</v>
      </c>
      <c r="H57" s="3">
        <v>2</v>
      </c>
      <c r="I57" s="4">
        <v>89.99</v>
      </c>
      <c r="J57" s="2" t="s">
        <v>20</v>
      </c>
      <c r="K57" s="2" t="s">
        <v>50</v>
      </c>
      <c r="L57" s="2" t="s">
        <v>22</v>
      </c>
      <c r="M57" s="1">
        <v>44438</v>
      </c>
      <c r="N57" s="4">
        <f t="shared" si="4"/>
        <v>179.98</v>
      </c>
      <c r="O57" s="2">
        <f t="shared" ca="1" si="0"/>
        <v>5</v>
      </c>
      <c r="P57" s="13">
        <f t="shared" ca="1" si="1"/>
        <v>46305</v>
      </c>
      <c r="Q57" s="16">
        <f t="shared" ca="1" si="2"/>
        <v>0</v>
      </c>
      <c r="R57" s="1">
        <f t="shared" si="3"/>
        <v>44439</v>
      </c>
    </row>
    <row r="58" spans="1:18" ht="17.25" customHeight="1" x14ac:dyDescent="0.25">
      <c r="A58" s="2" t="s">
        <v>175</v>
      </c>
      <c r="B58" s="1">
        <v>45471</v>
      </c>
      <c r="C58" s="2" t="s">
        <v>38</v>
      </c>
      <c r="D58" s="2" t="s">
        <v>39</v>
      </c>
      <c r="E58" s="2" t="s">
        <v>80</v>
      </c>
      <c r="F58" s="2" t="s">
        <v>81</v>
      </c>
      <c r="G58" s="2" t="s">
        <v>19</v>
      </c>
      <c r="H58" s="3">
        <v>3</v>
      </c>
      <c r="I58" s="4">
        <v>699.99</v>
      </c>
      <c r="J58" s="2" t="s">
        <v>26</v>
      </c>
      <c r="K58" s="2" t="s">
        <v>63</v>
      </c>
      <c r="L58" s="2" t="s">
        <v>27</v>
      </c>
      <c r="M58" s="1">
        <v>45102</v>
      </c>
      <c r="N58" s="4">
        <f t="shared" si="4"/>
        <v>2099.9700000000003</v>
      </c>
      <c r="O58" s="2">
        <f t="shared" ca="1" si="0"/>
        <v>3</v>
      </c>
      <c r="P58" s="13">
        <f t="shared" ca="1" si="1"/>
        <v>46305</v>
      </c>
      <c r="Q58" s="16">
        <f t="shared" ca="1" si="2"/>
        <v>0</v>
      </c>
      <c r="R58" s="1">
        <f t="shared" si="3"/>
        <v>45107</v>
      </c>
    </row>
    <row r="59" spans="1:18" x14ac:dyDescent="0.25">
      <c r="A59" s="2" t="s">
        <v>176</v>
      </c>
      <c r="B59" s="1">
        <v>45471</v>
      </c>
      <c r="C59" s="2" t="s">
        <v>99</v>
      </c>
      <c r="D59" s="2" t="s">
        <v>100</v>
      </c>
      <c r="E59" s="2" t="s">
        <v>61</v>
      </c>
      <c r="F59" s="2" t="s">
        <v>62</v>
      </c>
      <c r="G59" s="2" t="s">
        <v>19</v>
      </c>
      <c r="H59" s="3">
        <v>4</v>
      </c>
      <c r="I59" s="4">
        <v>899.99</v>
      </c>
      <c r="J59" s="2" t="s">
        <v>26</v>
      </c>
      <c r="K59" s="2" t="s">
        <v>63</v>
      </c>
      <c r="L59" s="2" t="s">
        <v>27</v>
      </c>
      <c r="M59" s="1">
        <v>44993</v>
      </c>
      <c r="N59" s="4">
        <f t="shared" si="4"/>
        <v>3599.96</v>
      </c>
      <c r="O59" s="2">
        <f t="shared" ca="1" si="0"/>
        <v>3</v>
      </c>
      <c r="P59" s="13">
        <f t="shared" ca="1" si="1"/>
        <v>46305</v>
      </c>
      <c r="Q59" s="16">
        <f t="shared" ca="1" si="2"/>
        <v>0</v>
      </c>
      <c r="R59" s="1">
        <f t="shared" si="3"/>
        <v>45016</v>
      </c>
    </row>
    <row r="60" spans="1:18" x14ac:dyDescent="0.25">
      <c r="A60" s="2" t="s">
        <v>177</v>
      </c>
      <c r="B60" s="1">
        <v>45472</v>
      </c>
      <c r="C60" s="2" t="s">
        <v>120</v>
      </c>
      <c r="D60" s="2" t="s">
        <v>121</v>
      </c>
      <c r="E60" s="2" t="s">
        <v>44</v>
      </c>
      <c r="F60" s="2" t="s">
        <v>45</v>
      </c>
      <c r="G60" s="2" t="s">
        <v>46</v>
      </c>
      <c r="H60" s="3">
        <v>1</v>
      </c>
      <c r="I60" s="4">
        <v>149.99</v>
      </c>
      <c r="J60" s="2" t="s">
        <v>34</v>
      </c>
      <c r="K60" s="2" t="s">
        <v>63</v>
      </c>
      <c r="L60" s="2" t="s">
        <v>22</v>
      </c>
      <c r="M60" s="1">
        <v>44851</v>
      </c>
      <c r="N60" s="4">
        <f t="shared" si="4"/>
        <v>149.99</v>
      </c>
      <c r="O60" s="2">
        <f t="shared" ca="1" si="0"/>
        <v>3</v>
      </c>
      <c r="P60" s="13">
        <f t="shared" ca="1" si="1"/>
        <v>46305</v>
      </c>
      <c r="Q60" s="16">
        <f t="shared" ca="1" si="2"/>
        <v>0</v>
      </c>
      <c r="R60" s="1">
        <f t="shared" si="3"/>
        <v>44865</v>
      </c>
    </row>
    <row r="61" spans="1:18" x14ac:dyDescent="0.25">
      <c r="A61" s="2" t="s">
        <v>178</v>
      </c>
      <c r="B61" s="1">
        <v>45474</v>
      </c>
      <c r="C61" s="2" t="s">
        <v>132</v>
      </c>
      <c r="D61" s="2" t="s">
        <v>133</v>
      </c>
      <c r="E61" s="2" t="s">
        <v>117</v>
      </c>
      <c r="F61" s="2" t="s">
        <v>118</v>
      </c>
      <c r="G61" s="2" t="s">
        <v>19</v>
      </c>
      <c r="H61" s="3">
        <v>2</v>
      </c>
      <c r="I61" s="4">
        <v>89.99</v>
      </c>
      <c r="J61" s="2" t="s">
        <v>34</v>
      </c>
      <c r="K61" s="2" t="s">
        <v>21</v>
      </c>
      <c r="L61" s="2" t="s">
        <v>27</v>
      </c>
      <c r="M61" s="1">
        <v>45275</v>
      </c>
      <c r="N61" s="4">
        <f t="shared" si="4"/>
        <v>179.98</v>
      </c>
      <c r="O61" s="2">
        <f t="shared" ca="1" si="0"/>
        <v>2</v>
      </c>
      <c r="P61" s="13">
        <f t="shared" ca="1" si="1"/>
        <v>46305</v>
      </c>
      <c r="Q61" s="16">
        <f t="shared" ca="1" si="2"/>
        <v>0</v>
      </c>
      <c r="R61" s="1">
        <f t="shared" si="3"/>
        <v>45291</v>
      </c>
    </row>
    <row r="62" spans="1:18" x14ac:dyDescent="0.25">
      <c r="A62" s="2" t="s">
        <v>179</v>
      </c>
      <c r="B62" s="1">
        <v>45475</v>
      </c>
      <c r="C62" s="2" t="s">
        <v>55</v>
      </c>
      <c r="D62" s="2" t="s">
        <v>56</v>
      </c>
      <c r="E62" s="2" t="s">
        <v>117</v>
      </c>
      <c r="F62" s="2" t="s">
        <v>118</v>
      </c>
      <c r="G62" s="2" t="s">
        <v>19</v>
      </c>
      <c r="H62" s="3">
        <v>1</v>
      </c>
      <c r="I62" s="4">
        <v>89.99</v>
      </c>
      <c r="J62" s="2" t="s">
        <v>34</v>
      </c>
      <c r="K62" s="2" t="s">
        <v>50</v>
      </c>
      <c r="L62" s="2" t="s">
        <v>36</v>
      </c>
      <c r="M62" s="1">
        <v>44802</v>
      </c>
      <c r="N62" s="4">
        <f t="shared" si="4"/>
        <v>89.99</v>
      </c>
      <c r="O62" s="2">
        <f t="shared" ca="1" si="0"/>
        <v>4</v>
      </c>
      <c r="P62" s="13">
        <f t="shared" ca="1" si="1"/>
        <v>46305</v>
      </c>
      <c r="Q62" s="16">
        <f t="shared" ca="1" si="2"/>
        <v>0</v>
      </c>
      <c r="R62" s="1">
        <f t="shared" si="3"/>
        <v>44804</v>
      </c>
    </row>
    <row r="63" spans="1:18" x14ac:dyDescent="0.25">
      <c r="A63" s="2" t="s">
        <v>180</v>
      </c>
      <c r="B63" s="1">
        <v>45476</v>
      </c>
      <c r="C63" s="2" t="s">
        <v>68</v>
      </c>
      <c r="D63" s="2" t="s">
        <v>69</v>
      </c>
      <c r="E63" s="2" t="s">
        <v>117</v>
      </c>
      <c r="F63" s="2" t="s">
        <v>118</v>
      </c>
      <c r="G63" s="2" t="s">
        <v>19</v>
      </c>
      <c r="H63" s="3">
        <v>1</v>
      </c>
      <c r="I63" s="4">
        <v>89.99</v>
      </c>
      <c r="J63" s="2" t="s">
        <v>20</v>
      </c>
      <c r="K63" s="2" t="s">
        <v>35</v>
      </c>
      <c r="L63" s="2" t="s">
        <v>36</v>
      </c>
      <c r="M63" s="1">
        <v>44611</v>
      </c>
      <c r="N63" s="4">
        <f t="shared" si="4"/>
        <v>89.99</v>
      </c>
      <c r="O63" s="2">
        <f t="shared" ca="1" si="0"/>
        <v>4</v>
      </c>
      <c r="P63" s="13">
        <f t="shared" ca="1" si="1"/>
        <v>46305</v>
      </c>
      <c r="Q63" s="16">
        <f t="shared" ca="1" si="2"/>
        <v>0</v>
      </c>
      <c r="R63" s="1">
        <f t="shared" si="3"/>
        <v>44620</v>
      </c>
    </row>
    <row r="64" spans="1:18" x14ac:dyDescent="0.25">
      <c r="A64" s="2" t="s">
        <v>181</v>
      </c>
      <c r="B64" s="1">
        <v>45476</v>
      </c>
      <c r="C64" s="2" t="s">
        <v>182</v>
      </c>
      <c r="D64" s="2" t="s">
        <v>183</v>
      </c>
      <c r="E64" s="2" t="s">
        <v>114</v>
      </c>
      <c r="F64" s="2" t="s">
        <v>115</v>
      </c>
      <c r="G64" s="2" t="s">
        <v>33</v>
      </c>
      <c r="H64" s="3">
        <v>5</v>
      </c>
      <c r="I64" s="4">
        <v>79.989999999999995</v>
      </c>
      <c r="J64" s="2" t="s">
        <v>57</v>
      </c>
      <c r="K64" s="2" t="s">
        <v>21</v>
      </c>
      <c r="L64" s="2" t="s">
        <v>22</v>
      </c>
      <c r="M64" s="1">
        <v>44981</v>
      </c>
      <c r="N64" s="4">
        <f t="shared" si="4"/>
        <v>399.95</v>
      </c>
      <c r="O64" s="2">
        <f t="shared" ca="1" si="0"/>
        <v>3</v>
      </c>
      <c r="P64" s="13">
        <f t="shared" ca="1" si="1"/>
        <v>46305</v>
      </c>
      <c r="Q64" s="16">
        <f t="shared" ca="1" si="2"/>
        <v>0</v>
      </c>
      <c r="R64" s="1">
        <f t="shared" si="3"/>
        <v>44985</v>
      </c>
    </row>
    <row r="65" spans="1:18" x14ac:dyDescent="0.25">
      <c r="A65" s="2" t="s">
        <v>184</v>
      </c>
      <c r="B65" s="1">
        <v>45481</v>
      </c>
      <c r="C65" s="2" t="s">
        <v>185</v>
      </c>
      <c r="D65" s="2" t="s">
        <v>186</v>
      </c>
      <c r="E65" s="2" t="s">
        <v>44</v>
      </c>
      <c r="F65" s="2" t="s">
        <v>45</v>
      </c>
      <c r="G65" s="2" t="s">
        <v>46</v>
      </c>
      <c r="H65" s="3">
        <v>1</v>
      </c>
      <c r="I65" s="4">
        <v>149.99</v>
      </c>
      <c r="J65" s="2" t="s">
        <v>34</v>
      </c>
      <c r="K65" s="2" t="s">
        <v>40</v>
      </c>
      <c r="L65" s="2" t="s">
        <v>22</v>
      </c>
      <c r="M65" s="1">
        <v>44421</v>
      </c>
      <c r="N65" s="4">
        <f t="shared" si="4"/>
        <v>149.99</v>
      </c>
      <c r="O65" s="2">
        <f t="shared" ca="1" si="0"/>
        <v>5</v>
      </c>
      <c r="P65" s="13">
        <f t="shared" ca="1" si="1"/>
        <v>46305</v>
      </c>
      <c r="Q65" s="16">
        <f t="shared" ca="1" si="2"/>
        <v>0</v>
      </c>
      <c r="R65" s="1">
        <f t="shared" si="3"/>
        <v>44439</v>
      </c>
    </row>
    <row r="66" spans="1:18" x14ac:dyDescent="0.25">
      <c r="A66" s="2" t="s">
        <v>187</v>
      </c>
      <c r="B66" s="1">
        <v>45481</v>
      </c>
      <c r="C66" s="2" t="s">
        <v>42</v>
      </c>
      <c r="D66" s="2" t="s">
        <v>43</v>
      </c>
      <c r="E66" s="2" t="s">
        <v>80</v>
      </c>
      <c r="F66" s="2" t="s">
        <v>81</v>
      </c>
      <c r="G66" s="2" t="s">
        <v>19</v>
      </c>
      <c r="H66" s="3">
        <v>2</v>
      </c>
      <c r="I66" s="4">
        <v>699.99</v>
      </c>
      <c r="J66" s="2" t="s">
        <v>34</v>
      </c>
      <c r="K66" s="2" t="s">
        <v>63</v>
      </c>
      <c r="L66" s="2" t="s">
        <v>27</v>
      </c>
      <c r="M66" s="1">
        <v>45389</v>
      </c>
      <c r="N66" s="4">
        <f t="shared" si="4"/>
        <v>1399.98</v>
      </c>
      <c r="O66" s="2">
        <f t="shared" ref="O66:O129" ca="1" si="5">DATEDIF(M66,TODAY(),"Y")</f>
        <v>2</v>
      </c>
      <c r="P66" s="13">
        <f t="shared" ref="P66:P129" ca="1" si="6">TODAY()</f>
        <v>46305</v>
      </c>
      <c r="Q66" s="16">
        <f t="shared" ref="Q66:Q129" ca="1" si="7">IF(A66&lt;&gt;"",IF(Q66="",NOW(),Q66),"")</f>
        <v>0</v>
      </c>
      <c r="R66" s="1">
        <f t="shared" ref="R66:R129" si="8">EOMONTH(M66,0)</f>
        <v>45412</v>
      </c>
    </row>
    <row r="67" spans="1:18" x14ac:dyDescent="0.25">
      <c r="A67" s="2" t="s">
        <v>188</v>
      </c>
      <c r="B67" s="1">
        <v>45481</v>
      </c>
      <c r="C67" s="2" t="s">
        <v>96</v>
      </c>
      <c r="D67" s="2" t="s">
        <v>97</v>
      </c>
      <c r="E67" s="2" t="s">
        <v>117</v>
      </c>
      <c r="F67" s="2" t="s">
        <v>118</v>
      </c>
      <c r="G67" s="2" t="s">
        <v>19</v>
      </c>
      <c r="H67" s="3">
        <v>5</v>
      </c>
      <c r="I67" s="4">
        <v>89.99</v>
      </c>
      <c r="J67" s="2" t="s">
        <v>57</v>
      </c>
      <c r="K67" s="2" t="s">
        <v>40</v>
      </c>
      <c r="L67" s="2" t="s">
        <v>27</v>
      </c>
      <c r="M67" s="1">
        <v>45161</v>
      </c>
      <c r="N67" s="4">
        <f t="shared" ref="N67:N130" si="9">H67*I67</f>
        <v>449.95</v>
      </c>
      <c r="O67" s="2">
        <f t="shared" ca="1" si="5"/>
        <v>3</v>
      </c>
      <c r="P67" s="13">
        <f t="shared" ca="1" si="6"/>
        <v>46305</v>
      </c>
      <c r="Q67" s="16">
        <f t="shared" ca="1" si="7"/>
        <v>0</v>
      </c>
      <c r="R67" s="1">
        <f t="shared" si="8"/>
        <v>45169</v>
      </c>
    </row>
    <row r="68" spans="1:18" x14ac:dyDescent="0.25">
      <c r="A68" s="2" t="s">
        <v>189</v>
      </c>
      <c r="B68" s="1">
        <v>45482</v>
      </c>
      <c r="C68" s="2" t="s">
        <v>171</v>
      </c>
      <c r="D68" s="2" t="s">
        <v>172</v>
      </c>
      <c r="E68" s="2" t="s">
        <v>31</v>
      </c>
      <c r="F68" s="2" t="s">
        <v>32</v>
      </c>
      <c r="G68" s="2" t="s">
        <v>33</v>
      </c>
      <c r="H68" s="3">
        <v>4</v>
      </c>
      <c r="I68" s="4">
        <v>59.99</v>
      </c>
      <c r="J68" s="2" t="s">
        <v>20</v>
      </c>
      <c r="K68" s="2" t="s">
        <v>35</v>
      </c>
      <c r="L68" s="2" t="s">
        <v>36</v>
      </c>
      <c r="M68" s="1">
        <v>44509</v>
      </c>
      <c r="N68" s="4">
        <f t="shared" si="9"/>
        <v>239.96</v>
      </c>
      <c r="O68" s="2">
        <f t="shared" ca="1" si="5"/>
        <v>4</v>
      </c>
      <c r="P68" s="13">
        <f t="shared" ca="1" si="6"/>
        <v>46305</v>
      </c>
      <c r="Q68" s="16">
        <f t="shared" ca="1" si="7"/>
        <v>0</v>
      </c>
      <c r="R68" s="1">
        <f t="shared" si="8"/>
        <v>44530</v>
      </c>
    </row>
    <row r="69" spans="1:18" x14ac:dyDescent="0.25">
      <c r="A69" s="2" t="s">
        <v>190</v>
      </c>
      <c r="B69" s="1">
        <v>45484</v>
      </c>
      <c r="C69" s="2" t="s">
        <v>24</v>
      </c>
      <c r="D69" s="2" t="s">
        <v>25</v>
      </c>
      <c r="E69" s="2" t="s">
        <v>52</v>
      </c>
      <c r="F69" s="2" t="s">
        <v>53</v>
      </c>
      <c r="G69" s="2" t="s">
        <v>19</v>
      </c>
      <c r="H69" s="3">
        <v>1</v>
      </c>
      <c r="I69" s="4">
        <v>149.99</v>
      </c>
      <c r="J69" s="2" t="s">
        <v>20</v>
      </c>
      <c r="K69" s="2" t="s">
        <v>21</v>
      </c>
      <c r="L69" s="2" t="s">
        <v>36</v>
      </c>
      <c r="M69" s="1">
        <v>44909</v>
      </c>
      <c r="N69" s="4">
        <f t="shared" si="9"/>
        <v>149.99</v>
      </c>
      <c r="O69" s="2">
        <f t="shared" ca="1" si="5"/>
        <v>3</v>
      </c>
      <c r="P69" s="13">
        <f t="shared" ca="1" si="6"/>
        <v>46305</v>
      </c>
      <c r="Q69" s="16">
        <f t="shared" ca="1" si="7"/>
        <v>0</v>
      </c>
      <c r="R69" s="1">
        <f t="shared" si="8"/>
        <v>44926</v>
      </c>
    </row>
    <row r="70" spans="1:18" x14ac:dyDescent="0.25">
      <c r="A70" s="2" t="s">
        <v>191</v>
      </c>
      <c r="B70" s="1">
        <v>45484</v>
      </c>
      <c r="C70" s="2" t="s">
        <v>192</v>
      </c>
      <c r="D70" s="2" t="s">
        <v>193</v>
      </c>
      <c r="E70" s="2" t="s">
        <v>105</v>
      </c>
      <c r="F70" s="2" t="s">
        <v>106</v>
      </c>
      <c r="G70" s="2" t="s">
        <v>46</v>
      </c>
      <c r="H70" s="3">
        <v>1</v>
      </c>
      <c r="I70" s="4">
        <v>299.99</v>
      </c>
      <c r="J70" s="2" t="s">
        <v>26</v>
      </c>
      <c r="K70" s="2" t="s">
        <v>40</v>
      </c>
      <c r="L70" s="2" t="s">
        <v>27</v>
      </c>
      <c r="M70" s="1">
        <v>44891</v>
      </c>
      <c r="N70" s="4">
        <f t="shared" si="9"/>
        <v>299.99</v>
      </c>
      <c r="O70" s="2">
        <f t="shared" ca="1" si="5"/>
        <v>3</v>
      </c>
      <c r="P70" s="13">
        <f t="shared" ca="1" si="6"/>
        <v>46305</v>
      </c>
      <c r="Q70" s="16">
        <f t="shared" ca="1" si="7"/>
        <v>0</v>
      </c>
      <c r="R70" s="1">
        <f t="shared" si="8"/>
        <v>44895</v>
      </c>
    </row>
    <row r="71" spans="1:18" x14ac:dyDescent="0.25">
      <c r="A71" s="2" t="s">
        <v>194</v>
      </c>
      <c r="B71" s="1">
        <v>45487</v>
      </c>
      <c r="C71" s="2" t="s">
        <v>192</v>
      </c>
      <c r="D71" s="2" t="s">
        <v>193</v>
      </c>
      <c r="E71" s="2" t="s">
        <v>126</v>
      </c>
      <c r="F71" s="2" t="s">
        <v>127</v>
      </c>
      <c r="G71" s="2" t="s">
        <v>46</v>
      </c>
      <c r="H71" s="3">
        <v>2</v>
      </c>
      <c r="I71" s="4">
        <v>199.99</v>
      </c>
      <c r="J71" s="2" t="s">
        <v>20</v>
      </c>
      <c r="K71" s="2" t="s">
        <v>40</v>
      </c>
      <c r="L71" s="2" t="s">
        <v>22</v>
      </c>
      <c r="M71" s="1">
        <v>44541</v>
      </c>
      <c r="N71" s="4">
        <f t="shared" si="9"/>
        <v>399.98</v>
      </c>
      <c r="O71" s="2">
        <f t="shared" ca="1" si="5"/>
        <v>4</v>
      </c>
      <c r="P71" s="13">
        <f t="shared" ca="1" si="6"/>
        <v>46305</v>
      </c>
      <c r="Q71" s="16">
        <f t="shared" ca="1" si="7"/>
        <v>0</v>
      </c>
      <c r="R71" s="1">
        <f t="shared" si="8"/>
        <v>44561</v>
      </c>
    </row>
    <row r="72" spans="1:18" x14ac:dyDescent="0.25">
      <c r="A72" s="2" t="s">
        <v>195</v>
      </c>
      <c r="B72" s="1">
        <v>45490</v>
      </c>
      <c r="C72" s="2" t="s">
        <v>196</v>
      </c>
      <c r="D72" s="2" t="s">
        <v>197</v>
      </c>
      <c r="E72" s="2" t="s">
        <v>31</v>
      </c>
      <c r="F72" s="2" t="s">
        <v>32</v>
      </c>
      <c r="G72" s="2" t="s">
        <v>33</v>
      </c>
      <c r="H72" s="3">
        <v>3</v>
      </c>
      <c r="I72" s="4">
        <v>59.99</v>
      </c>
      <c r="J72" s="2" t="s">
        <v>26</v>
      </c>
      <c r="K72" s="2" t="s">
        <v>50</v>
      </c>
      <c r="L72" s="2" t="s">
        <v>22</v>
      </c>
      <c r="M72" s="1">
        <v>45130</v>
      </c>
      <c r="N72" s="4">
        <f t="shared" si="9"/>
        <v>179.97</v>
      </c>
      <c r="O72" s="2">
        <f t="shared" ca="1" si="5"/>
        <v>3</v>
      </c>
      <c r="P72" s="13">
        <f t="shared" ca="1" si="6"/>
        <v>46305</v>
      </c>
      <c r="Q72" s="16">
        <f t="shared" ca="1" si="7"/>
        <v>0</v>
      </c>
      <c r="R72" s="1">
        <f t="shared" si="8"/>
        <v>45138</v>
      </c>
    </row>
    <row r="73" spans="1:18" x14ac:dyDescent="0.25">
      <c r="A73" s="2" t="s">
        <v>198</v>
      </c>
      <c r="B73" s="1">
        <v>45490</v>
      </c>
      <c r="C73" s="2" t="s">
        <v>72</v>
      </c>
      <c r="D73" s="2" t="s">
        <v>73</v>
      </c>
      <c r="E73" s="2" t="s">
        <v>44</v>
      </c>
      <c r="F73" s="2" t="s">
        <v>45</v>
      </c>
      <c r="G73" s="2" t="s">
        <v>46</v>
      </c>
      <c r="H73" s="3">
        <v>3</v>
      </c>
      <c r="I73" s="4">
        <v>149.99</v>
      </c>
      <c r="J73" s="2" t="s">
        <v>20</v>
      </c>
      <c r="K73" s="2" t="s">
        <v>21</v>
      </c>
      <c r="L73" s="2" t="s">
        <v>27</v>
      </c>
      <c r="M73" s="1">
        <v>45199</v>
      </c>
      <c r="N73" s="4">
        <f t="shared" si="9"/>
        <v>449.97</v>
      </c>
      <c r="O73" s="2">
        <f t="shared" ca="1" si="5"/>
        <v>3</v>
      </c>
      <c r="P73" s="13">
        <f t="shared" ca="1" si="6"/>
        <v>46305</v>
      </c>
      <c r="Q73" s="16">
        <f t="shared" ca="1" si="7"/>
        <v>0</v>
      </c>
      <c r="R73" s="1">
        <f t="shared" si="8"/>
        <v>45199</v>
      </c>
    </row>
    <row r="74" spans="1:18" x14ac:dyDescent="0.25">
      <c r="A74" s="2" t="s">
        <v>199</v>
      </c>
      <c r="B74" s="1">
        <v>45491</v>
      </c>
      <c r="C74" s="2" t="s">
        <v>65</v>
      </c>
      <c r="D74" s="2" t="s">
        <v>66</v>
      </c>
      <c r="E74" s="2" t="s">
        <v>126</v>
      </c>
      <c r="F74" s="2" t="s">
        <v>127</v>
      </c>
      <c r="G74" s="2" t="s">
        <v>46</v>
      </c>
      <c r="H74" s="3">
        <v>3</v>
      </c>
      <c r="I74" s="4">
        <v>199.99</v>
      </c>
      <c r="J74" s="2" t="s">
        <v>20</v>
      </c>
      <c r="K74" s="2" t="s">
        <v>40</v>
      </c>
      <c r="L74" s="2" t="s">
        <v>27</v>
      </c>
      <c r="M74" s="1">
        <v>45254</v>
      </c>
      <c r="N74" s="4">
        <f t="shared" si="9"/>
        <v>599.97</v>
      </c>
      <c r="O74" s="2">
        <f t="shared" ca="1" si="5"/>
        <v>2</v>
      </c>
      <c r="P74" s="13">
        <f t="shared" ca="1" si="6"/>
        <v>46305</v>
      </c>
      <c r="Q74" s="16">
        <f t="shared" ca="1" si="7"/>
        <v>0</v>
      </c>
      <c r="R74" s="1">
        <f t="shared" si="8"/>
        <v>45260</v>
      </c>
    </row>
    <row r="75" spans="1:18" x14ac:dyDescent="0.25">
      <c r="A75" s="2" t="s">
        <v>200</v>
      </c>
      <c r="B75" s="1">
        <v>45496</v>
      </c>
      <c r="C75" s="2" t="s">
        <v>150</v>
      </c>
      <c r="D75" s="2" t="s">
        <v>151</v>
      </c>
      <c r="E75" s="2" t="s">
        <v>61</v>
      </c>
      <c r="F75" s="2" t="s">
        <v>62</v>
      </c>
      <c r="G75" s="2" t="s">
        <v>19</v>
      </c>
      <c r="H75" s="3">
        <v>1</v>
      </c>
      <c r="I75" s="4">
        <v>899.99</v>
      </c>
      <c r="J75" s="2" t="s">
        <v>20</v>
      </c>
      <c r="K75" s="2" t="s">
        <v>21</v>
      </c>
      <c r="L75" s="2" t="s">
        <v>36</v>
      </c>
      <c r="M75" s="1">
        <v>45179</v>
      </c>
      <c r="N75" s="4">
        <f t="shared" si="9"/>
        <v>899.99</v>
      </c>
      <c r="O75" s="2">
        <f t="shared" ca="1" si="5"/>
        <v>3</v>
      </c>
      <c r="P75" s="13">
        <f t="shared" ca="1" si="6"/>
        <v>46305</v>
      </c>
      <c r="Q75" s="16">
        <f t="shared" ca="1" si="7"/>
        <v>0</v>
      </c>
      <c r="R75" s="1">
        <f t="shared" si="8"/>
        <v>45199</v>
      </c>
    </row>
    <row r="76" spans="1:18" x14ac:dyDescent="0.25">
      <c r="A76" s="2" t="s">
        <v>201</v>
      </c>
      <c r="B76" s="1">
        <v>45497</v>
      </c>
      <c r="C76" s="2" t="s">
        <v>24</v>
      </c>
      <c r="D76" s="2" t="s">
        <v>25</v>
      </c>
      <c r="E76" s="2" t="s">
        <v>61</v>
      </c>
      <c r="F76" s="2" t="s">
        <v>62</v>
      </c>
      <c r="G76" s="2" t="s">
        <v>19</v>
      </c>
      <c r="H76" s="3">
        <v>5</v>
      </c>
      <c r="I76" s="4">
        <v>899.99</v>
      </c>
      <c r="J76" s="2" t="s">
        <v>57</v>
      </c>
      <c r="K76" s="2" t="s">
        <v>35</v>
      </c>
      <c r="L76" s="2" t="s">
        <v>36</v>
      </c>
      <c r="M76" s="1">
        <v>44899</v>
      </c>
      <c r="N76" s="4">
        <f t="shared" si="9"/>
        <v>4499.95</v>
      </c>
      <c r="O76" s="2">
        <f t="shared" ca="1" si="5"/>
        <v>3</v>
      </c>
      <c r="P76" s="13">
        <f t="shared" ca="1" si="6"/>
        <v>46305</v>
      </c>
      <c r="Q76" s="16">
        <f t="shared" ca="1" si="7"/>
        <v>0</v>
      </c>
      <c r="R76" s="1">
        <f t="shared" si="8"/>
        <v>44926</v>
      </c>
    </row>
    <row r="77" spans="1:18" x14ac:dyDescent="0.25">
      <c r="A77" s="2" t="s">
        <v>202</v>
      </c>
      <c r="B77" s="1">
        <v>45498</v>
      </c>
      <c r="C77" s="2" t="s">
        <v>182</v>
      </c>
      <c r="D77" s="2" t="s">
        <v>183</v>
      </c>
      <c r="E77" s="2" t="s">
        <v>31</v>
      </c>
      <c r="F77" s="2" t="s">
        <v>32</v>
      </c>
      <c r="G77" s="2" t="s">
        <v>33</v>
      </c>
      <c r="H77" s="3">
        <v>2</v>
      </c>
      <c r="I77" s="4">
        <v>59.99</v>
      </c>
      <c r="J77" s="2" t="s">
        <v>20</v>
      </c>
      <c r="K77" s="2" t="s">
        <v>40</v>
      </c>
      <c r="L77" s="2" t="s">
        <v>36</v>
      </c>
      <c r="M77" s="1">
        <v>45152</v>
      </c>
      <c r="N77" s="4">
        <f t="shared" si="9"/>
        <v>119.98</v>
      </c>
      <c r="O77" s="2">
        <f t="shared" ca="1" si="5"/>
        <v>3</v>
      </c>
      <c r="P77" s="13">
        <f t="shared" ca="1" si="6"/>
        <v>46305</v>
      </c>
      <c r="Q77" s="16">
        <f t="shared" ca="1" si="7"/>
        <v>0</v>
      </c>
      <c r="R77" s="1">
        <f t="shared" si="8"/>
        <v>45169</v>
      </c>
    </row>
    <row r="78" spans="1:18" x14ac:dyDescent="0.25">
      <c r="A78" s="2" t="s">
        <v>203</v>
      </c>
      <c r="B78" s="1">
        <v>45498</v>
      </c>
      <c r="C78" s="2" t="s">
        <v>196</v>
      </c>
      <c r="D78" s="2" t="s">
        <v>197</v>
      </c>
      <c r="E78" s="2" t="s">
        <v>17</v>
      </c>
      <c r="F78" s="2" t="s">
        <v>18</v>
      </c>
      <c r="G78" s="2" t="s">
        <v>19</v>
      </c>
      <c r="H78" s="3">
        <v>4</v>
      </c>
      <c r="I78" s="4">
        <v>249.99</v>
      </c>
      <c r="J78" s="2" t="s">
        <v>57</v>
      </c>
      <c r="K78" s="2" t="s">
        <v>21</v>
      </c>
      <c r="L78" s="2" t="s">
        <v>36</v>
      </c>
      <c r="M78" s="1">
        <v>45127</v>
      </c>
      <c r="N78" s="4">
        <f t="shared" si="9"/>
        <v>999.96</v>
      </c>
      <c r="O78" s="2">
        <f t="shared" ca="1" si="5"/>
        <v>3</v>
      </c>
      <c r="P78" s="13">
        <f t="shared" ca="1" si="6"/>
        <v>46305</v>
      </c>
      <c r="Q78" s="16">
        <f t="shared" ca="1" si="7"/>
        <v>0</v>
      </c>
      <c r="R78" s="1">
        <f t="shared" si="8"/>
        <v>45138</v>
      </c>
    </row>
    <row r="79" spans="1:18" x14ac:dyDescent="0.25">
      <c r="A79" s="2" t="s">
        <v>204</v>
      </c>
      <c r="B79" s="1">
        <v>45500</v>
      </c>
      <c r="C79" s="2" t="s">
        <v>96</v>
      </c>
      <c r="D79" s="2" t="s">
        <v>97</v>
      </c>
      <c r="E79" s="2" t="s">
        <v>17</v>
      </c>
      <c r="F79" s="2" t="s">
        <v>18</v>
      </c>
      <c r="G79" s="2" t="s">
        <v>19</v>
      </c>
      <c r="H79" s="3">
        <v>2</v>
      </c>
      <c r="I79" s="4">
        <v>249.99</v>
      </c>
      <c r="J79" s="2" t="s">
        <v>20</v>
      </c>
      <c r="K79" s="2" t="s">
        <v>40</v>
      </c>
      <c r="L79" s="2" t="s">
        <v>27</v>
      </c>
      <c r="M79" s="1">
        <v>45164</v>
      </c>
      <c r="N79" s="4">
        <f t="shared" si="9"/>
        <v>499.98</v>
      </c>
      <c r="O79" s="2">
        <f t="shared" ca="1" si="5"/>
        <v>3</v>
      </c>
      <c r="P79" s="13">
        <f t="shared" ca="1" si="6"/>
        <v>46305</v>
      </c>
      <c r="Q79" s="16">
        <f t="shared" ca="1" si="7"/>
        <v>0</v>
      </c>
      <c r="R79" s="1">
        <f t="shared" si="8"/>
        <v>45169</v>
      </c>
    </row>
    <row r="80" spans="1:18" x14ac:dyDescent="0.25">
      <c r="A80" s="2" t="s">
        <v>205</v>
      </c>
      <c r="B80" s="1">
        <v>45500</v>
      </c>
      <c r="C80" s="2" t="s">
        <v>147</v>
      </c>
      <c r="D80" s="2" t="s">
        <v>148</v>
      </c>
      <c r="E80" s="2" t="s">
        <v>105</v>
      </c>
      <c r="F80" s="2" t="s">
        <v>106</v>
      </c>
      <c r="G80" s="2" t="s">
        <v>46</v>
      </c>
      <c r="H80" s="3">
        <v>1</v>
      </c>
      <c r="I80" s="4">
        <v>299.99</v>
      </c>
      <c r="J80" s="2" t="s">
        <v>20</v>
      </c>
      <c r="K80" s="2" t="s">
        <v>35</v>
      </c>
      <c r="L80" s="2" t="s">
        <v>22</v>
      </c>
      <c r="M80" s="1">
        <v>44982</v>
      </c>
      <c r="N80" s="4">
        <f t="shared" si="9"/>
        <v>299.99</v>
      </c>
      <c r="O80" s="2">
        <f t="shared" ca="1" si="5"/>
        <v>3</v>
      </c>
      <c r="P80" s="13">
        <f t="shared" ca="1" si="6"/>
        <v>46305</v>
      </c>
      <c r="Q80" s="16">
        <f t="shared" ca="1" si="7"/>
        <v>0</v>
      </c>
      <c r="R80" s="1">
        <f t="shared" si="8"/>
        <v>44985</v>
      </c>
    </row>
    <row r="81" spans="1:18" x14ac:dyDescent="0.25">
      <c r="A81" s="2" t="s">
        <v>206</v>
      </c>
      <c r="B81" s="1">
        <v>45501</v>
      </c>
      <c r="C81" s="2" t="s">
        <v>86</v>
      </c>
      <c r="D81" s="2" t="s">
        <v>87</v>
      </c>
      <c r="E81" s="2" t="s">
        <v>117</v>
      </c>
      <c r="F81" s="2" t="s">
        <v>118</v>
      </c>
      <c r="G81" s="2" t="s">
        <v>19</v>
      </c>
      <c r="H81" s="3">
        <v>2</v>
      </c>
      <c r="I81" s="4">
        <v>89.99</v>
      </c>
      <c r="J81" s="2" t="s">
        <v>34</v>
      </c>
      <c r="K81" s="2" t="s">
        <v>35</v>
      </c>
      <c r="L81" s="2" t="s">
        <v>22</v>
      </c>
      <c r="M81" s="1">
        <v>44976</v>
      </c>
      <c r="N81" s="4">
        <f t="shared" si="9"/>
        <v>179.98</v>
      </c>
      <c r="O81" s="2">
        <f t="shared" ca="1" si="5"/>
        <v>3</v>
      </c>
      <c r="P81" s="13">
        <f t="shared" ca="1" si="6"/>
        <v>46305</v>
      </c>
      <c r="Q81" s="16">
        <f t="shared" ca="1" si="7"/>
        <v>0</v>
      </c>
      <c r="R81" s="1">
        <f t="shared" si="8"/>
        <v>44985</v>
      </c>
    </row>
    <row r="82" spans="1:18" x14ac:dyDescent="0.25">
      <c r="A82" s="2" t="s">
        <v>207</v>
      </c>
      <c r="B82" s="1">
        <v>45501</v>
      </c>
      <c r="C82" s="2" t="s">
        <v>147</v>
      </c>
      <c r="D82" s="2" t="s">
        <v>148</v>
      </c>
      <c r="E82" s="2" t="s">
        <v>105</v>
      </c>
      <c r="F82" s="2" t="s">
        <v>106</v>
      </c>
      <c r="G82" s="2" t="s">
        <v>46</v>
      </c>
      <c r="H82" s="3">
        <v>3</v>
      </c>
      <c r="I82" s="4">
        <v>299.99</v>
      </c>
      <c r="J82" s="2" t="s">
        <v>20</v>
      </c>
      <c r="K82" s="2" t="s">
        <v>21</v>
      </c>
      <c r="L82" s="2" t="s">
        <v>22</v>
      </c>
      <c r="M82" s="1">
        <v>44732</v>
      </c>
      <c r="N82" s="4">
        <f t="shared" si="9"/>
        <v>899.97</v>
      </c>
      <c r="O82" s="2">
        <f t="shared" ca="1" si="5"/>
        <v>4</v>
      </c>
      <c r="P82" s="13">
        <f t="shared" ca="1" si="6"/>
        <v>46305</v>
      </c>
      <c r="Q82" s="16">
        <f t="shared" ca="1" si="7"/>
        <v>0</v>
      </c>
      <c r="R82" s="1">
        <f t="shared" si="8"/>
        <v>44742</v>
      </c>
    </row>
    <row r="83" spans="1:18" x14ac:dyDescent="0.25">
      <c r="A83" s="2" t="s">
        <v>208</v>
      </c>
      <c r="B83" s="1">
        <v>45503</v>
      </c>
      <c r="C83" s="2" t="s">
        <v>86</v>
      </c>
      <c r="D83" s="2" t="s">
        <v>87</v>
      </c>
      <c r="E83" s="2" t="s">
        <v>80</v>
      </c>
      <c r="F83" s="2" t="s">
        <v>81</v>
      </c>
      <c r="G83" s="2" t="s">
        <v>19</v>
      </c>
      <c r="H83" s="3">
        <v>2</v>
      </c>
      <c r="I83" s="4">
        <v>699.99</v>
      </c>
      <c r="J83" s="2" t="s">
        <v>26</v>
      </c>
      <c r="K83" s="2" t="s">
        <v>40</v>
      </c>
      <c r="L83" s="2" t="s">
        <v>27</v>
      </c>
      <c r="M83" s="1">
        <v>44999</v>
      </c>
      <c r="N83" s="4">
        <f t="shared" si="9"/>
        <v>1399.98</v>
      </c>
      <c r="O83" s="2">
        <f t="shared" ca="1" si="5"/>
        <v>3</v>
      </c>
      <c r="P83" s="13">
        <f t="shared" ca="1" si="6"/>
        <v>46305</v>
      </c>
      <c r="Q83" s="16">
        <f t="shared" ca="1" si="7"/>
        <v>0</v>
      </c>
      <c r="R83" s="1">
        <f t="shared" si="8"/>
        <v>45016</v>
      </c>
    </row>
    <row r="84" spans="1:18" x14ac:dyDescent="0.25">
      <c r="A84" s="2" t="s">
        <v>209</v>
      </c>
      <c r="B84" s="1">
        <v>45504</v>
      </c>
      <c r="C84" s="2" t="s">
        <v>120</v>
      </c>
      <c r="D84" s="2" t="s">
        <v>121</v>
      </c>
      <c r="E84" s="2" t="s">
        <v>61</v>
      </c>
      <c r="F84" s="2" t="s">
        <v>62</v>
      </c>
      <c r="G84" s="2" t="s">
        <v>19</v>
      </c>
      <c r="H84" s="3">
        <v>4</v>
      </c>
      <c r="I84" s="4">
        <v>899.99</v>
      </c>
      <c r="J84" s="2" t="s">
        <v>57</v>
      </c>
      <c r="K84" s="2" t="s">
        <v>35</v>
      </c>
      <c r="L84" s="2" t="s">
        <v>36</v>
      </c>
      <c r="M84" s="1">
        <v>44523</v>
      </c>
      <c r="N84" s="4">
        <f t="shared" si="9"/>
        <v>3599.96</v>
      </c>
      <c r="O84" s="2">
        <f t="shared" ca="1" si="5"/>
        <v>4</v>
      </c>
      <c r="P84" s="13">
        <f t="shared" ca="1" si="6"/>
        <v>46305</v>
      </c>
      <c r="Q84" s="16">
        <f t="shared" ca="1" si="7"/>
        <v>0</v>
      </c>
      <c r="R84" s="1">
        <f t="shared" si="8"/>
        <v>44530</v>
      </c>
    </row>
    <row r="85" spans="1:18" x14ac:dyDescent="0.25">
      <c r="A85" s="2" t="s">
        <v>210</v>
      </c>
      <c r="B85" s="1">
        <v>45509</v>
      </c>
      <c r="C85" s="2" t="s">
        <v>211</v>
      </c>
      <c r="D85" s="2" t="s">
        <v>212</v>
      </c>
      <c r="E85" s="2" t="s">
        <v>44</v>
      </c>
      <c r="F85" s="2" t="s">
        <v>45</v>
      </c>
      <c r="G85" s="2" t="s">
        <v>46</v>
      </c>
      <c r="H85" s="3">
        <v>2</v>
      </c>
      <c r="I85" s="4">
        <v>149.99</v>
      </c>
      <c r="J85" s="2" t="s">
        <v>26</v>
      </c>
      <c r="K85" s="2" t="s">
        <v>50</v>
      </c>
      <c r="L85" s="2" t="s">
        <v>22</v>
      </c>
      <c r="M85" s="1">
        <v>44542</v>
      </c>
      <c r="N85" s="4">
        <f t="shared" si="9"/>
        <v>299.98</v>
      </c>
      <c r="O85" s="2">
        <f t="shared" ca="1" si="5"/>
        <v>4</v>
      </c>
      <c r="P85" s="13">
        <f t="shared" ca="1" si="6"/>
        <v>46305</v>
      </c>
      <c r="Q85" s="16">
        <f t="shared" ca="1" si="7"/>
        <v>0</v>
      </c>
      <c r="R85" s="1">
        <f t="shared" si="8"/>
        <v>44561</v>
      </c>
    </row>
    <row r="86" spans="1:18" x14ac:dyDescent="0.25">
      <c r="A86" s="2" t="s">
        <v>213</v>
      </c>
      <c r="B86" s="1">
        <v>45510</v>
      </c>
      <c r="C86" s="2" t="s">
        <v>102</v>
      </c>
      <c r="D86" s="2" t="s">
        <v>103</v>
      </c>
      <c r="E86" s="2" t="s">
        <v>44</v>
      </c>
      <c r="F86" s="2" t="s">
        <v>45</v>
      </c>
      <c r="G86" s="2" t="s">
        <v>46</v>
      </c>
      <c r="H86" s="3">
        <v>2</v>
      </c>
      <c r="I86" s="4">
        <v>149.99</v>
      </c>
      <c r="J86" s="2" t="s">
        <v>57</v>
      </c>
      <c r="K86" s="2" t="s">
        <v>63</v>
      </c>
      <c r="L86" s="2" t="s">
        <v>36</v>
      </c>
      <c r="M86" s="1">
        <v>44667</v>
      </c>
      <c r="N86" s="4">
        <f t="shared" si="9"/>
        <v>299.98</v>
      </c>
      <c r="O86" s="2">
        <f t="shared" ca="1" si="5"/>
        <v>4</v>
      </c>
      <c r="P86" s="13">
        <f t="shared" ca="1" si="6"/>
        <v>46305</v>
      </c>
      <c r="Q86" s="16">
        <f t="shared" ca="1" si="7"/>
        <v>0</v>
      </c>
      <c r="R86" s="1">
        <f t="shared" si="8"/>
        <v>44681</v>
      </c>
    </row>
    <row r="87" spans="1:18" x14ac:dyDescent="0.25">
      <c r="A87" s="2" t="s">
        <v>214</v>
      </c>
      <c r="B87" s="1">
        <v>45513</v>
      </c>
      <c r="C87" s="2" t="s">
        <v>89</v>
      </c>
      <c r="D87" s="2" t="s">
        <v>90</v>
      </c>
      <c r="E87" s="2" t="s">
        <v>117</v>
      </c>
      <c r="F87" s="2" t="s">
        <v>118</v>
      </c>
      <c r="G87" s="2" t="s">
        <v>19</v>
      </c>
      <c r="H87" s="3">
        <v>1</v>
      </c>
      <c r="I87" s="4">
        <v>89.99</v>
      </c>
      <c r="J87" s="2" t="s">
        <v>26</v>
      </c>
      <c r="K87" s="2" t="s">
        <v>40</v>
      </c>
      <c r="L87" s="2" t="s">
        <v>36</v>
      </c>
      <c r="M87" s="1">
        <v>45393</v>
      </c>
      <c r="N87" s="4">
        <f t="shared" si="9"/>
        <v>89.99</v>
      </c>
      <c r="O87" s="2">
        <f t="shared" ca="1" si="5"/>
        <v>2</v>
      </c>
      <c r="P87" s="13">
        <f t="shared" ca="1" si="6"/>
        <v>46305</v>
      </c>
      <c r="Q87" s="16">
        <f t="shared" ca="1" si="7"/>
        <v>0</v>
      </c>
      <c r="R87" s="1">
        <f t="shared" si="8"/>
        <v>45412</v>
      </c>
    </row>
    <row r="88" spans="1:18" x14ac:dyDescent="0.25">
      <c r="A88" s="2" t="s">
        <v>215</v>
      </c>
      <c r="B88" s="1">
        <v>45515</v>
      </c>
      <c r="C88" s="2" t="s">
        <v>86</v>
      </c>
      <c r="D88" s="2" t="s">
        <v>87</v>
      </c>
      <c r="E88" s="2" t="s">
        <v>105</v>
      </c>
      <c r="F88" s="2" t="s">
        <v>106</v>
      </c>
      <c r="G88" s="2" t="s">
        <v>46</v>
      </c>
      <c r="H88" s="3">
        <v>5</v>
      </c>
      <c r="I88" s="4">
        <v>299.99</v>
      </c>
      <c r="J88" s="2" t="s">
        <v>26</v>
      </c>
      <c r="K88" s="2" t="s">
        <v>40</v>
      </c>
      <c r="L88" s="2" t="s">
        <v>22</v>
      </c>
      <c r="M88" s="1">
        <v>44965</v>
      </c>
      <c r="N88" s="4">
        <f t="shared" si="9"/>
        <v>1499.95</v>
      </c>
      <c r="O88" s="2">
        <f t="shared" ca="1" si="5"/>
        <v>3</v>
      </c>
      <c r="P88" s="13">
        <f t="shared" ca="1" si="6"/>
        <v>46305</v>
      </c>
      <c r="Q88" s="16">
        <f t="shared" ca="1" si="7"/>
        <v>0</v>
      </c>
      <c r="R88" s="1">
        <f t="shared" si="8"/>
        <v>44985</v>
      </c>
    </row>
    <row r="89" spans="1:18" x14ac:dyDescent="0.25">
      <c r="A89" s="2" t="s">
        <v>216</v>
      </c>
      <c r="B89" s="1">
        <v>45517</v>
      </c>
      <c r="C89" s="2" t="s">
        <v>182</v>
      </c>
      <c r="D89" s="2" t="s">
        <v>183</v>
      </c>
      <c r="E89" s="2" t="s">
        <v>52</v>
      </c>
      <c r="F89" s="2" t="s">
        <v>53</v>
      </c>
      <c r="G89" s="2" t="s">
        <v>19</v>
      </c>
      <c r="H89" s="3">
        <v>4</v>
      </c>
      <c r="I89" s="4">
        <v>149.99</v>
      </c>
      <c r="J89" s="2" t="s">
        <v>57</v>
      </c>
      <c r="K89" s="2" t="s">
        <v>35</v>
      </c>
      <c r="L89" s="2" t="s">
        <v>27</v>
      </c>
      <c r="M89" s="1">
        <v>44820</v>
      </c>
      <c r="N89" s="4">
        <f t="shared" si="9"/>
        <v>599.96</v>
      </c>
      <c r="O89" s="2">
        <f t="shared" ca="1" si="5"/>
        <v>4</v>
      </c>
      <c r="P89" s="13">
        <f t="shared" ca="1" si="6"/>
        <v>46305</v>
      </c>
      <c r="Q89" s="16">
        <f t="shared" ca="1" si="7"/>
        <v>0</v>
      </c>
      <c r="R89" s="1">
        <f t="shared" si="8"/>
        <v>44834</v>
      </c>
    </row>
    <row r="90" spans="1:18" x14ac:dyDescent="0.25">
      <c r="A90" s="2" t="s">
        <v>217</v>
      </c>
      <c r="B90" s="1">
        <v>45517</v>
      </c>
      <c r="C90" s="2" t="s">
        <v>185</v>
      </c>
      <c r="D90" s="2" t="s">
        <v>186</v>
      </c>
      <c r="E90" s="2" t="s">
        <v>17</v>
      </c>
      <c r="F90" s="2" t="s">
        <v>18</v>
      </c>
      <c r="G90" s="2" t="s">
        <v>19</v>
      </c>
      <c r="H90" s="3">
        <v>5</v>
      </c>
      <c r="I90" s="4">
        <v>249.99</v>
      </c>
      <c r="J90" s="2" t="s">
        <v>34</v>
      </c>
      <c r="K90" s="2" t="s">
        <v>63</v>
      </c>
      <c r="L90" s="2" t="s">
        <v>27</v>
      </c>
      <c r="M90" s="1">
        <v>44782</v>
      </c>
      <c r="N90" s="4">
        <f t="shared" si="9"/>
        <v>1249.95</v>
      </c>
      <c r="O90" s="2">
        <f t="shared" ca="1" si="5"/>
        <v>4</v>
      </c>
      <c r="P90" s="13">
        <f t="shared" ca="1" si="6"/>
        <v>46305</v>
      </c>
      <c r="Q90" s="16">
        <f t="shared" ca="1" si="7"/>
        <v>0</v>
      </c>
      <c r="R90" s="1">
        <f t="shared" si="8"/>
        <v>44804</v>
      </c>
    </row>
    <row r="91" spans="1:18" x14ac:dyDescent="0.25">
      <c r="A91" s="2" t="s">
        <v>218</v>
      </c>
      <c r="B91" s="1">
        <v>45517</v>
      </c>
      <c r="C91" s="2" t="s">
        <v>65</v>
      </c>
      <c r="D91" s="2" t="s">
        <v>66</v>
      </c>
      <c r="E91" s="2" t="s">
        <v>17</v>
      </c>
      <c r="F91" s="2" t="s">
        <v>18</v>
      </c>
      <c r="G91" s="2" t="s">
        <v>19</v>
      </c>
      <c r="H91" s="3">
        <v>3</v>
      </c>
      <c r="I91" s="4">
        <v>249.99</v>
      </c>
      <c r="J91" s="2" t="s">
        <v>34</v>
      </c>
      <c r="K91" s="2" t="s">
        <v>40</v>
      </c>
      <c r="L91" s="2" t="s">
        <v>27</v>
      </c>
      <c r="M91" s="1">
        <v>44465</v>
      </c>
      <c r="N91" s="4">
        <f t="shared" si="9"/>
        <v>749.97</v>
      </c>
      <c r="O91" s="2">
        <f t="shared" ca="1" si="5"/>
        <v>5</v>
      </c>
      <c r="P91" s="13">
        <f t="shared" ca="1" si="6"/>
        <v>46305</v>
      </c>
      <c r="Q91" s="16">
        <f t="shared" ca="1" si="7"/>
        <v>0</v>
      </c>
      <c r="R91" s="1">
        <f t="shared" si="8"/>
        <v>44469</v>
      </c>
    </row>
    <row r="92" spans="1:18" ht="17.25" customHeight="1" x14ac:dyDescent="0.25">
      <c r="A92" s="2" t="s">
        <v>219</v>
      </c>
      <c r="B92" s="1">
        <v>45517</v>
      </c>
      <c r="C92" s="2" t="s">
        <v>38</v>
      </c>
      <c r="D92" s="2" t="s">
        <v>39</v>
      </c>
      <c r="E92" s="2" t="s">
        <v>126</v>
      </c>
      <c r="F92" s="2" t="s">
        <v>127</v>
      </c>
      <c r="G92" s="2" t="s">
        <v>46</v>
      </c>
      <c r="H92" s="3">
        <v>4</v>
      </c>
      <c r="I92" s="4">
        <v>199.99</v>
      </c>
      <c r="J92" s="2" t="s">
        <v>20</v>
      </c>
      <c r="K92" s="2" t="s">
        <v>40</v>
      </c>
      <c r="L92" s="2" t="s">
        <v>36</v>
      </c>
      <c r="M92" s="1">
        <v>44458</v>
      </c>
      <c r="N92" s="4">
        <f t="shared" si="9"/>
        <v>799.96</v>
      </c>
      <c r="O92" s="2">
        <f t="shared" ca="1" si="5"/>
        <v>5</v>
      </c>
      <c r="P92" s="13">
        <f t="shared" ca="1" si="6"/>
        <v>46305</v>
      </c>
      <c r="Q92" s="16">
        <f t="shared" ca="1" si="7"/>
        <v>0</v>
      </c>
      <c r="R92" s="1">
        <f t="shared" si="8"/>
        <v>44469</v>
      </c>
    </row>
    <row r="93" spans="1:18" x14ac:dyDescent="0.25">
      <c r="A93" s="2" t="s">
        <v>220</v>
      </c>
      <c r="B93" s="1">
        <v>45519</v>
      </c>
      <c r="C93" s="2" t="s">
        <v>158</v>
      </c>
      <c r="D93" s="2" t="s">
        <v>159</v>
      </c>
      <c r="E93" s="2" t="s">
        <v>126</v>
      </c>
      <c r="F93" s="2" t="s">
        <v>127</v>
      </c>
      <c r="G93" s="2" t="s">
        <v>46</v>
      </c>
      <c r="H93" s="3">
        <v>5</v>
      </c>
      <c r="I93" s="4">
        <v>199.99</v>
      </c>
      <c r="J93" s="2" t="s">
        <v>20</v>
      </c>
      <c r="K93" s="2" t="s">
        <v>40</v>
      </c>
      <c r="L93" s="2" t="s">
        <v>27</v>
      </c>
      <c r="M93" s="1">
        <v>44991</v>
      </c>
      <c r="N93" s="4">
        <f t="shared" si="9"/>
        <v>999.95</v>
      </c>
      <c r="O93" s="2">
        <f t="shared" ca="1" si="5"/>
        <v>3</v>
      </c>
      <c r="P93" s="13">
        <f t="shared" ca="1" si="6"/>
        <v>46305</v>
      </c>
      <c r="Q93" s="16">
        <f t="shared" ca="1" si="7"/>
        <v>0</v>
      </c>
      <c r="R93" s="1">
        <f t="shared" si="8"/>
        <v>45016</v>
      </c>
    </row>
    <row r="94" spans="1:18" x14ac:dyDescent="0.25">
      <c r="A94" s="2" t="s">
        <v>221</v>
      </c>
      <c r="B94" s="1">
        <v>45522</v>
      </c>
      <c r="C94" s="2" t="s">
        <v>86</v>
      </c>
      <c r="D94" s="2" t="s">
        <v>87</v>
      </c>
      <c r="E94" s="2" t="s">
        <v>117</v>
      </c>
      <c r="F94" s="2" t="s">
        <v>118</v>
      </c>
      <c r="G94" s="2" t="s">
        <v>19</v>
      </c>
      <c r="H94" s="3">
        <v>2</v>
      </c>
      <c r="I94" s="4">
        <v>89.99</v>
      </c>
      <c r="J94" s="2" t="s">
        <v>20</v>
      </c>
      <c r="K94" s="2" t="s">
        <v>63</v>
      </c>
      <c r="L94" s="2" t="s">
        <v>27</v>
      </c>
      <c r="M94" s="1">
        <v>44972</v>
      </c>
      <c r="N94" s="4">
        <f t="shared" si="9"/>
        <v>179.98</v>
      </c>
      <c r="O94" s="2">
        <f t="shared" ca="1" si="5"/>
        <v>3</v>
      </c>
      <c r="P94" s="13">
        <f t="shared" ca="1" si="6"/>
        <v>46305</v>
      </c>
      <c r="Q94" s="16">
        <f t="shared" ca="1" si="7"/>
        <v>0</v>
      </c>
      <c r="R94" s="1">
        <f t="shared" si="8"/>
        <v>44985</v>
      </c>
    </row>
    <row r="95" spans="1:18" x14ac:dyDescent="0.25">
      <c r="A95" s="2" t="s">
        <v>222</v>
      </c>
      <c r="B95" s="1">
        <v>45523</v>
      </c>
      <c r="C95" s="2" t="s">
        <v>196</v>
      </c>
      <c r="D95" s="2" t="s">
        <v>197</v>
      </c>
      <c r="E95" s="2" t="s">
        <v>61</v>
      </c>
      <c r="F95" s="2" t="s">
        <v>62</v>
      </c>
      <c r="G95" s="2" t="s">
        <v>19</v>
      </c>
      <c r="H95" s="3">
        <v>5</v>
      </c>
      <c r="I95" s="4">
        <v>899.99</v>
      </c>
      <c r="J95" s="2" t="s">
        <v>57</v>
      </c>
      <c r="K95" s="2" t="s">
        <v>63</v>
      </c>
      <c r="L95" s="2" t="s">
        <v>22</v>
      </c>
      <c r="M95" s="1">
        <v>44526</v>
      </c>
      <c r="N95" s="4">
        <f t="shared" si="9"/>
        <v>4499.95</v>
      </c>
      <c r="O95" s="2">
        <f t="shared" ca="1" si="5"/>
        <v>4</v>
      </c>
      <c r="P95" s="13">
        <f t="shared" ca="1" si="6"/>
        <v>46305</v>
      </c>
      <c r="Q95" s="16">
        <f t="shared" ca="1" si="7"/>
        <v>0</v>
      </c>
      <c r="R95" s="1">
        <f t="shared" si="8"/>
        <v>44530</v>
      </c>
    </row>
    <row r="96" spans="1:18" x14ac:dyDescent="0.25">
      <c r="A96" s="2" t="s">
        <v>223</v>
      </c>
      <c r="B96" s="1">
        <v>45523</v>
      </c>
      <c r="C96" s="2" t="s">
        <v>108</v>
      </c>
      <c r="D96" s="2" t="s">
        <v>109</v>
      </c>
      <c r="E96" s="2" t="s">
        <v>52</v>
      </c>
      <c r="F96" s="2" t="s">
        <v>53</v>
      </c>
      <c r="G96" s="2" t="s">
        <v>19</v>
      </c>
      <c r="H96" s="3">
        <v>3</v>
      </c>
      <c r="I96" s="4">
        <v>149.99</v>
      </c>
      <c r="J96" s="2" t="s">
        <v>34</v>
      </c>
      <c r="K96" s="2" t="s">
        <v>63</v>
      </c>
      <c r="L96" s="2" t="s">
        <v>22</v>
      </c>
      <c r="M96" s="1">
        <v>44574</v>
      </c>
      <c r="N96" s="4">
        <f t="shared" si="9"/>
        <v>449.97</v>
      </c>
      <c r="O96" s="2">
        <f t="shared" ca="1" si="5"/>
        <v>4</v>
      </c>
      <c r="P96" s="13">
        <f t="shared" ca="1" si="6"/>
        <v>46305</v>
      </c>
      <c r="Q96" s="16">
        <f t="shared" ca="1" si="7"/>
        <v>0</v>
      </c>
      <c r="R96" s="1">
        <f t="shared" si="8"/>
        <v>44592</v>
      </c>
    </row>
    <row r="97" spans="1:18" x14ac:dyDescent="0.25">
      <c r="A97" s="2" t="s">
        <v>224</v>
      </c>
      <c r="B97" s="1">
        <v>45526</v>
      </c>
      <c r="C97" s="2" t="s">
        <v>102</v>
      </c>
      <c r="D97" s="2" t="s">
        <v>103</v>
      </c>
      <c r="E97" s="2" t="s">
        <v>44</v>
      </c>
      <c r="F97" s="2" t="s">
        <v>45</v>
      </c>
      <c r="G97" s="2" t="s">
        <v>46</v>
      </c>
      <c r="H97" s="3">
        <v>5</v>
      </c>
      <c r="I97" s="4">
        <v>149.99</v>
      </c>
      <c r="J97" s="2" t="s">
        <v>26</v>
      </c>
      <c r="K97" s="2" t="s">
        <v>21</v>
      </c>
      <c r="L97" s="2" t="s">
        <v>22</v>
      </c>
      <c r="M97" s="1">
        <v>45310</v>
      </c>
      <c r="N97" s="4">
        <f t="shared" si="9"/>
        <v>749.95</v>
      </c>
      <c r="O97" s="2">
        <f t="shared" ca="1" si="5"/>
        <v>2</v>
      </c>
      <c r="P97" s="13">
        <f t="shared" ca="1" si="6"/>
        <v>46305</v>
      </c>
      <c r="Q97" s="16">
        <f t="shared" ca="1" si="7"/>
        <v>0</v>
      </c>
      <c r="R97" s="1">
        <f t="shared" si="8"/>
        <v>45322</v>
      </c>
    </row>
    <row r="98" spans="1:18" x14ac:dyDescent="0.25">
      <c r="A98" s="2" t="s">
        <v>225</v>
      </c>
      <c r="B98" s="1">
        <v>45528</v>
      </c>
      <c r="C98" s="2" t="s">
        <v>226</v>
      </c>
      <c r="D98" s="2" t="s">
        <v>227</v>
      </c>
      <c r="E98" s="2" t="s">
        <v>114</v>
      </c>
      <c r="F98" s="2" t="s">
        <v>115</v>
      </c>
      <c r="G98" s="2" t="s">
        <v>33</v>
      </c>
      <c r="H98" s="3">
        <v>3</v>
      </c>
      <c r="I98" s="4">
        <v>79.989999999999995</v>
      </c>
      <c r="J98" s="2" t="s">
        <v>20</v>
      </c>
      <c r="K98" s="2" t="s">
        <v>21</v>
      </c>
      <c r="L98" s="2" t="s">
        <v>27</v>
      </c>
      <c r="M98" s="1">
        <v>44779</v>
      </c>
      <c r="N98" s="4">
        <f t="shared" si="9"/>
        <v>239.96999999999997</v>
      </c>
      <c r="O98" s="2">
        <f t="shared" ca="1" si="5"/>
        <v>4</v>
      </c>
      <c r="P98" s="13">
        <f t="shared" ca="1" si="6"/>
        <v>46305</v>
      </c>
      <c r="Q98" s="16">
        <f t="shared" ca="1" si="7"/>
        <v>0</v>
      </c>
      <c r="R98" s="1">
        <f t="shared" si="8"/>
        <v>44804</v>
      </c>
    </row>
    <row r="99" spans="1:18" x14ac:dyDescent="0.25">
      <c r="A99" s="2" t="s">
        <v>228</v>
      </c>
      <c r="B99" s="1">
        <v>45528</v>
      </c>
      <c r="C99" s="2" t="s">
        <v>144</v>
      </c>
      <c r="D99" s="2" t="s">
        <v>145</v>
      </c>
      <c r="E99" s="2" t="s">
        <v>17</v>
      </c>
      <c r="F99" s="2" t="s">
        <v>18</v>
      </c>
      <c r="G99" s="2" t="s">
        <v>19</v>
      </c>
      <c r="H99" s="3">
        <v>2</v>
      </c>
      <c r="I99" s="4">
        <v>249.99</v>
      </c>
      <c r="J99" s="2" t="s">
        <v>20</v>
      </c>
      <c r="K99" s="2" t="s">
        <v>35</v>
      </c>
      <c r="L99" s="2" t="s">
        <v>36</v>
      </c>
      <c r="M99" s="1">
        <v>44572</v>
      </c>
      <c r="N99" s="4">
        <f t="shared" si="9"/>
        <v>499.98</v>
      </c>
      <c r="O99" s="2">
        <f t="shared" ca="1" si="5"/>
        <v>4</v>
      </c>
      <c r="P99" s="13">
        <f t="shared" ca="1" si="6"/>
        <v>46305</v>
      </c>
      <c r="Q99" s="16">
        <f t="shared" ca="1" si="7"/>
        <v>0</v>
      </c>
      <c r="R99" s="1">
        <f t="shared" si="8"/>
        <v>44592</v>
      </c>
    </row>
    <row r="100" spans="1:18" x14ac:dyDescent="0.25">
      <c r="A100" s="2" t="s">
        <v>229</v>
      </c>
      <c r="B100" s="1">
        <v>45532</v>
      </c>
      <c r="C100" s="2" t="s">
        <v>196</v>
      </c>
      <c r="D100" s="2" t="s">
        <v>197</v>
      </c>
      <c r="E100" s="2" t="s">
        <v>80</v>
      </c>
      <c r="F100" s="2" t="s">
        <v>81</v>
      </c>
      <c r="G100" s="2" t="s">
        <v>19</v>
      </c>
      <c r="H100" s="3">
        <v>1</v>
      </c>
      <c r="I100" s="4">
        <v>699.99</v>
      </c>
      <c r="J100" s="2" t="s">
        <v>20</v>
      </c>
      <c r="K100" s="2" t="s">
        <v>21</v>
      </c>
      <c r="L100" s="2" t="s">
        <v>27</v>
      </c>
      <c r="M100" s="1">
        <v>44497</v>
      </c>
      <c r="N100" s="4">
        <f t="shared" si="9"/>
        <v>699.99</v>
      </c>
      <c r="O100" s="2">
        <f t="shared" ca="1" si="5"/>
        <v>4</v>
      </c>
      <c r="P100" s="13">
        <f t="shared" ca="1" si="6"/>
        <v>46305</v>
      </c>
      <c r="Q100" s="16">
        <f t="shared" ca="1" si="7"/>
        <v>0</v>
      </c>
      <c r="R100" s="1">
        <f t="shared" si="8"/>
        <v>44500</v>
      </c>
    </row>
    <row r="101" spans="1:18" x14ac:dyDescent="0.25">
      <c r="A101" s="2" t="s">
        <v>230</v>
      </c>
      <c r="B101" s="1">
        <v>45532</v>
      </c>
      <c r="C101" s="2" t="s">
        <v>231</v>
      </c>
      <c r="D101" s="2" t="s">
        <v>232</v>
      </c>
      <c r="E101" s="2" t="s">
        <v>52</v>
      </c>
      <c r="F101" s="2" t="s">
        <v>53</v>
      </c>
      <c r="G101" s="2" t="s">
        <v>19</v>
      </c>
      <c r="H101" s="3">
        <v>3</v>
      </c>
      <c r="I101" s="4">
        <v>149.99</v>
      </c>
      <c r="J101" s="2" t="s">
        <v>20</v>
      </c>
      <c r="K101" s="2" t="s">
        <v>50</v>
      </c>
      <c r="L101" s="2" t="s">
        <v>27</v>
      </c>
      <c r="M101" s="1">
        <v>45212</v>
      </c>
      <c r="N101" s="4">
        <f t="shared" si="9"/>
        <v>449.97</v>
      </c>
      <c r="O101" s="2">
        <f t="shared" ca="1" si="5"/>
        <v>2</v>
      </c>
      <c r="P101" s="13">
        <f t="shared" ca="1" si="6"/>
        <v>46305</v>
      </c>
      <c r="Q101" s="16">
        <f t="shared" ca="1" si="7"/>
        <v>0</v>
      </c>
      <c r="R101" s="1">
        <f t="shared" si="8"/>
        <v>45230</v>
      </c>
    </row>
    <row r="102" spans="1:18" x14ac:dyDescent="0.25">
      <c r="A102" s="2" t="s">
        <v>233</v>
      </c>
      <c r="B102" s="1">
        <v>45534</v>
      </c>
      <c r="C102" s="2" t="s">
        <v>234</v>
      </c>
      <c r="D102" s="2" t="s">
        <v>235</v>
      </c>
      <c r="E102" s="2" t="s">
        <v>80</v>
      </c>
      <c r="F102" s="2" t="s">
        <v>81</v>
      </c>
      <c r="G102" s="2" t="s">
        <v>19</v>
      </c>
      <c r="H102" s="3">
        <v>2</v>
      </c>
      <c r="I102" s="4">
        <v>699.99</v>
      </c>
      <c r="J102" s="2" t="s">
        <v>26</v>
      </c>
      <c r="K102" s="2" t="s">
        <v>40</v>
      </c>
      <c r="L102" s="2" t="s">
        <v>27</v>
      </c>
      <c r="M102" s="1">
        <v>44421</v>
      </c>
      <c r="N102" s="4">
        <f t="shared" si="9"/>
        <v>1399.98</v>
      </c>
      <c r="O102" s="2">
        <f t="shared" ca="1" si="5"/>
        <v>5</v>
      </c>
      <c r="P102" s="13">
        <f t="shared" ca="1" si="6"/>
        <v>46305</v>
      </c>
      <c r="Q102" s="16">
        <f t="shared" ca="1" si="7"/>
        <v>0</v>
      </c>
      <c r="R102" s="1">
        <f t="shared" si="8"/>
        <v>44439</v>
      </c>
    </row>
    <row r="103" spans="1:18" x14ac:dyDescent="0.25">
      <c r="A103" s="2" t="s">
        <v>236</v>
      </c>
      <c r="B103" s="1">
        <v>45537</v>
      </c>
      <c r="C103" s="2" t="s">
        <v>231</v>
      </c>
      <c r="D103" s="2" t="s">
        <v>232</v>
      </c>
      <c r="E103" s="2" t="s">
        <v>17</v>
      </c>
      <c r="F103" s="2" t="s">
        <v>18</v>
      </c>
      <c r="G103" s="2" t="s">
        <v>19</v>
      </c>
      <c r="H103" s="3">
        <v>1</v>
      </c>
      <c r="I103" s="4">
        <v>249.99</v>
      </c>
      <c r="J103" s="2" t="s">
        <v>26</v>
      </c>
      <c r="K103" s="2" t="s">
        <v>50</v>
      </c>
      <c r="L103" s="2" t="s">
        <v>27</v>
      </c>
      <c r="M103" s="1">
        <v>44685</v>
      </c>
      <c r="N103" s="4">
        <f t="shared" si="9"/>
        <v>249.99</v>
      </c>
      <c r="O103" s="2">
        <f t="shared" ca="1" si="5"/>
        <v>4</v>
      </c>
      <c r="P103" s="13">
        <f t="shared" ca="1" si="6"/>
        <v>46305</v>
      </c>
      <c r="Q103" s="16">
        <f t="shared" ca="1" si="7"/>
        <v>0</v>
      </c>
      <c r="R103" s="1">
        <f t="shared" si="8"/>
        <v>44712</v>
      </c>
    </row>
    <row r="104" spans="1:18" x14ac:dyDescent="0.25">
      <c r="A104" s="2" t="s">
        <v>237</v>
      </c>
      <c r="B104" s="1">
        <v>45537</v>
      </c>
      <c r="C104" s="2" t="s">
        <v>15</v>
      </c>
      <c r="D104" s="2" t="s">
        <v>16</v>
      </c>
      <c r="E104" s="2" t="s">
        <v>17</v>
      </c>
      <c r="F104" s="2" t="s">
        <v>18</v>
      </c>
      <c r="G104" s="2" t="s">
        <v>19</v>
      </c>
      <c r="H104" s="3">
        <v>1</v>
      </c>
      <c r="I104" s="4">
        <v>249.99</v>
      </c>
      <c r="J104" s="2" t="s">
        <v>57</v>
      </c>
      <c r="K104" s="2" t="s">
        <v>40</v>
      </c>
      <c r="L104" s="2" t="s">
        <v>27</v>
      </c>
      <c r="M104" s="1">
        <v>45332</v>
      </c>
      <c r="N104" s="4">
        <f t="shared" si="9"/>
        <v>249.99</v>
      </c>
      <c r="O104" s="2">
        <f t="shared" ca="1" si="5"/>
        <v>2</v>
      </c>
      <c r="P104" s="13">
        <f t="shared" ca="1" si="6"/>
        <v>46305</v>
      </c>
      <c r="Q104" s="16">
        <f t="shared" ca="1" si="7"/>
        <v>0</v>
      </c>
      <c r="R104" s="1">
        <f t="shared" si="8"/>
        <v>45351</v>
      </c>
    </row>
    <row r="105" spans="1:18" x14ac:dyDescent="0.25">
      <c r="A105" s="2" t="s">
        <v>238</v>
      </c>
      <c r="B105" s="1">
        <v>45538</v>
      </c>
      <c r="C105" s="2" t="s">
        <v>226</v>
      </c>
      <c r="D105" s="2" t="s">
        <v>227</v>
      </c>
      <c r="E105" s="2" t="s">
        <v>80</v>
      </c>
      <c r="F105" s="2" t="s">
        <v>81</v>
      </c>
      <c r="G105" s="2" t="s">
        <v>19</v>
      </c>
      <c r="H105" s="3">
        <v>2</v>
      </c>
      <c r="I105" s="4">
        <v>699.99</v>
      </c>
      <c r="J105" s="2" t="s">
        <v>57</v>
      </c>
      <c r="K105" s="2" t="s">
        <v>21</v>
      </c>
      <c r="L105" s="2" t="s">
        <v>27</v>
      </c>
      <c r="M105" s="1">
        <v>44870</v>
      </c>
      <c r="N105" s="4">
        <f t="shared" si="9"/>
        <v>1399.98</v>
      </c>
      <c r="O105" s="2">
        <f t="shared" ca="1" si="5"/>
        <v>3</v>
      </c>
      <c r="P105" s="13">
        <f t="shared" ca="1" si="6"/>
        <v>46305</v>
      </c>
      <c r="Q105" s="16">
        <f t="shared" ca="1" si="7"/>
        <v>0</v>
      </c>
      <c r="R105" s="1">
        <f t="shared" si="8"/>
        <v>44895</v>
      </c>
    </row>
    <row r="106" spans="1:18" x14ac:dyDescent="0.25">
      <c r="A106" s="2" t="s">
        <v>239</v>
      </c>
      <c r="B106" s="1">
        <v>45541</v>
      </c>
      <c r="C106" s="2" t="s">
        <v>138</v>
      </c>
      <c r="D106" s="2" t="s">
        <v>139</v>
      </c>
      <c r="E106" s="2" t="s">
        <v>31</v>
      </c>
      <c r="F106" s="2" t="s">
        <v>32</v>
      </c>
      <c r="G106" s="2" t="s">
        <v>33</v>
      </c>
      <c r="H106" s="3">
        <v>3</v>
      </c>
      <c r="I106" s="4">
        <v>59.99</v>
      </c>
      <c r="J106" s="2" t="s">
        <v>26</v>
      </c>
      <c r="K106" s="2" t="s">
        <v>21</v>
      </c>
      <c r="L106" s="2" t="s">
        <v>27</v>
      </c>
      <c r="M106" s="1">
        <v>44717</v>
      </c>
      <c r="N106" s="4">
        <f t="shared" si="9"/>
        <v>179.97</v>
      </c>
      <c r="O106" s="2">
        <f t="shared" ca="1" si="5"/>
        <v>4</v>
      </c>
      <c r="P106" s="13">
        <f t="shared" ca="1" si="6"/>
        <v>46305</v>
      </c>
      <c r="Q106" s="16">
        <f t="shared" ca="1" si="7"/>
        <v>0</v>
      </c>
      <c r="R106" s="1">
        <f t="shared" si="8"/>
        <v>44742</v>
      </c>
    </row>
    <row r="107" spans="1:18" x14ac:dyDescent="0.25">
      <c r="A107" s="2" t="s">
        <v>240</v>
      </c>
      <c r="B107" s="1">
        <v>45544</v>
      </c>
      <c r="C107" s="2" t="s">
        <v>132</v>
      </c>
      <c r="D107" s="2" t="s">
        <v>133</v>
      </c>
      <c r="E107" s="2" t="s">
        <v>31</v>
      </c>
      <c r="F107" s="2" t="s">
        <v>32</v>
      </c>
      <c r="G107" s="2" t="s">
        <v>33</v>
      </c>
      <c r="H107" s="3">
        <v>3</v>
      </c>
      <c r="I107" s="4">
        <v>59.99</v>
      </c>
      <c r="J107" s="2" t="s">
        <v>34</v>
      </c>
      <c r="K107" s="2" t="s">
        <v>63</v>
      </c>
      <c r="L107" s="2" t="s">
        <v>36</v>
      </c>
      <c r="M107" s="1">
        <v>44748</v>
      </c>
      <c r="N107" s="4">
        <f t="shared" si="9"/>
        <v>179.97</v>
      </c>
      <c r="O107" s="2">
        <f t="shared" ca="1" si="5"/>
        <v>4</v>
      </c>
      <c r="P107" s="13">
        <f t="shared" ca="1" si="6"/>
        <v>46305</v>
      </c>
      <c r="Q107" s="16">
        <f t="shared" ca="1" si="7"/>
        <v>0</v>
      </c>
      <c r="R107" s="1">
        <f t="shared" si="8"/>
        <v>44773</v>
      </c>
    </row>
    <row r="108" spans="1:18" x14ac:dyDescent="0.25">
      <c r="A108" s="2" t="s">
        <v>241</v>
      </c>
      <c r="B108" s="1">
        <v>45544</v>
      </c>
      <c r="C108" s="2" t="s">
        <v>141</v>
      </c>
      <c r="D108" s="2" t="s">
        <v>142</v>
      </c>
      <c r="E108" s="2" t="s">
        <v>114</v>
      </c>
      <c r="F108" s="2" t="s">
        <v>115</v>
      </c>
      <c r="G108" s="2" t="s">
        <v>33</v>
      </c>
      <c r="H108" s="3">
        <v>4</v>
      </c>
      <c r="I108" s="4">
        <v>79.989999999999995</v>
      </c>
      <c r="J108" s="2" t="s">
        <v>20</v>
      </c>
      <c r="K108" s="2" t="s">
        <v>40</v>
      </c>
      <c r="L108" s="2" t="s">
        <v>22</v>
      </c>
      <c r="M108" s="1">
        <v>44530</v>
      </c>
      <c r="N108" s="4">
        <f t="shared" si="9"/>
        <v>319.95999999999998</v>
      </c>
      <c r="O108" s="2">
        <f t="shared" ca="1" si="5"/>
        <v>4</v>
      </c>
      <c r="P108" s="13">
        <f t="shared" ca="1" si="6"/>
        <v>46305</v>
      </c>
      <c r="Q108" s="16">
        <f t="shared" ca="1" si="7"/>
        <v>0</v>
      </c>
      <c r="R108" s="1">
        <f t="shared" si="8"/>
        <v>44530</v>
      </c>
    </row>
    <row r="109" spans="1:18" x14ac:dyDescent="0.25">
      <c r="A109" s="2" t="s">
        <v>242</v>
      </c>
      <c r="B109" s="1">
        <v>45545</v>
      </c>
      <c r="C109" s="2" t="s">
        <v>55</v>
      </c>
      <c r="D109" s="2" t="s">
        <v>56</v>
      </c>
      <c r="E109" s="2" t="s">
        <v>114</v>
      </c>
      <c r="F109" s="2" t="s">
        <v>115</v>
      </c>
      <c r="G109" s="2" t="s">
        <v>33</v>
      </c>
      <c r="H109" s="3">
        <v>1</v>
      </c>
      <c r="I109" s="4">
        <v>79.989999999999995</v>
      </c>
      <c r="J109" s="2" t="s">
        <v>20</v>
      </c>
      <c r="K109" s="2" t="s">
        <v>50</v>
      </c>
      <c r="L109" s="2" t="s">
        <v>22</v>
      </c>
      <c r="M109" s="1">
        <v>44693</v>
      </c>
      <c r="N109" s="4">
        <f t="shared" si="9"/>
        <v>79.989999999999995</v>
      </c>
      <c r="O109" s="2">
        <f t="shared" ca="1" si="5"/>
        <v>4</v>
      </c>
      <c r="P109" s="13">
        <f t="shared" ca="1" si="6"/>
        <v>46305</v>
      </c>
      <c r="Q109" s="16">
        <f t="shared" ca="1" si="7"/>
        <v>0</v>
      </c>
      <c r="R109" s="1">
        <f t="shared" si="8"/>
        <v>44712</v>
      </c>
    </row>
    <row r="110" spans="1:18" x14ac:dyDescent="0.25">
      <c r="A110" s="2" t="s">
        <v>243</v>
      </c>
      <c r="B110" s="1">
        <v>45547</v>
      </c>
      <c r="C110" s="2" t="s">
        <v>48</v>
      </c>
      <c r="D110" s="2" t="s">
        <v>49</v>
      </c>
      <c r="E110" s="2" t="s">
        <v>105</v>
      </c>
      <c r="F110" s="2" t="s">
        <v>106</v>
      </c>
      <c r="G110" s="2" t="s">
        <v>46</v>
      </c>
      <c r="H110" s="3">
        <v>3</v>
      </c>
      <c r="I110" s="4">
        <v>299.99</v>
      </c>
      <c r="J110" s="2" t="s">
        <v>26</v>
      </c>
      <c r="K110" s="2" t="s">
        <v>21</v>
      </c>
      <c r="L110" s="2" t="s">
        <v>27</v>
      </c>
      <c r="M110" s="1">
        <v>44494</v>
      </c>
      <c r="N110" s="4">
        <f t="shared" si="9"/>
        <v>899.97</v>
      </c>
      <c r="O110" s="2">
        <f t="shared" ca="1" si="5"/>
        <v>4</v>
      </c>
      <c r="P110" s="13">
        <f t="shared" ca="1" si="6"/>
        <v>46305</v>
      </c>
      <c r="Q110" s="16">
        <f t="shared" ca="1" si="7"/>
        <v>0</v>
      </c>
      <c r="R110" s="1">
        <f t="shared" si="8"/>
        <v>44500</v>
      </c>
    </row>
    <row r="111" spans="1:18" ht="17.25" customHeight="1" x14ac:dyDescent="0.25">
      <c r="A111" s="2" t="s">
        <v>244</v>
      </c>
      <c r="B111" s="1">
        <v>45548</v>
      </c>
      <c r="C111" s="2" t="s">
        <v>38</v>
      </c>
      <c r="D111" s="2" t="s">
        <v>39</v>
      </c>
      <c r="E111" s="2" t="s">
        <v>117</v>
      </c>
      <c r="F111" s="2" t="s">
        <v>118</v>
      </c>
      <c r="G111" s="2" t="s">
        <v>19</v>
      </c>
      <c r="H111" s="3">
        <v>2</v>
      </c>
      <c r="I111" s="4">
        <v>89.99</v>
      </c>
      <c r="J111" s="2" t="s">
        <v>26</v>
      </c>
      <c r="K111" s="2" t="s">
        <v>35</v>
      </c>
      <c r="L111" s="2" t="s">
        <v>27</v>
      </c>
      <c r="M111" s="1">
        <v>44641</v>
      </c>
      <c r="N111" s="4">
        <f t="shared" si="9"/>
        <v>179.98</v>
      </c>
      <c r="O111" s="2">
        <f t="shared" ca="1" si="5"/>
        <v>4</v>
      </c>
      <c r="P111" s="13">
        <f t="shared" ca="1" si="6"/>
        <v>46305</v>
      </c>
      <c r="Q111" s="16">
        <f t="shared" ca="1" si="7"/>
        <v>0</v>
      </c>
      <c r="R111" s="1">
        <f t="shared" si="8"/>
        <v>44651</v>
      </c>
    </row>
    <row r="112" spans="1:18" x14ac:dyDescent="0.25">
      <c r="A112" s="2" t="s">
        <v>245</v>
      </c>
      <c r="B112" s="1">
        <v>45550</v>
      </c>
      <c r="C112" s="2" t="s">
        <v>246</v>
      </c>
      <c r="D112" s="2" t="s">
        <v>247</v>
      </c>
      <c r="E112" s="2" t="s">
        <v>52</v>
      </c>
      <c r="F112" s="2" t="s">
        <v>53</v>
      </c>
      <c r="G112" s="2" t="s">
        <v>19</v>
      </c>
      <c r="H112" s="3">
        <v>4</v>
      </c>
      <c r="I112" s="4">
        <v>149.99</v>
      </c>
      <c r="J112" s="2" t="s">
        <v>20</v>
      </c>
      <c r="K112" s="2" t="s">
        <v>40</v>
      </c>
      <c r="L112" s="2" t="s">
        <v>22</v>
      </c>
      <c r="M112" s="1">
        <v>44909</v>
      </c>
      <c r="N112" s="4">
        <f t="shared" si="9"/>
        <v>599.96</v>
      </c>
      <c r="O112" s="2">
        <f t="shared" ca="1" si="5"/>
        <v>3</v>
      </c>
      <c r="P112" s="13">
        <f t="shared" ca="1" si="6"/>
        <v>46305</v>
      </c>
      <c r="Q112" s="16">
        <f t="shared" ca="1" si="7"/>
        <v>0</v>
      </c>
      <c r="R112" s="1">
        <f t="shared" si="8"/>
        <v>44926</v>
      </c>
    </row>
    <row r="113" spans="1:18" x14ac:dyDescent="0.25">
      <c r="A113" s="2" t="s">
        <v>248</v>
      </c>
      <c r="B113" s="1">
        <v>45551</v>
      </c>
      <c r="C113" s="2" t="s">
        <v>65</v>
      </c>
      <c r="D113" s="2" t="s">
        <v>66</v>
      </c>
      <c r="E113" s="2" t="s">
        <v>17</v>
      </c>
      <c r="F113" s="2" t="s">
        <v>18</v>
      </c>
      <c r="G113" s="2" t="s">
        <v>19</v>
      </c>
      <c r="H113" s="3">
        <v>2</v>
      </c>
      <c r="I113" s="4">
        <v>249.99</v>
      </c>
      <c r="J113" s="2" t="s">
        <v>34</v>
      </c>
      <c r="K113" s="2" t="s">
        <v>35</v>
      </c>
      <c r="L113" s="2" t="s">
        <v>22</v>
      </c>
      <c r="M113" s="1">
        <v>44993</v>
      </c>
      <c r="N113" s="4">
        <f t="shared" si="9"/>
        <v>499.98</v>
      </c>
      <c r="O113" s="2">
        <f t="shared" ca="1" si="5"/>
        <v>3</v>
      </c>
      <c r="P113" s="13">
        <f t="shared" ca="1" si="6"/>
        <v>46305</v>
      </c>
      <c r="Q113" s="16">
        <f t="shared" ca="1" si="7"/>
        <v>0</v>
      </c>
      <c r="R113" s="1">
        <f t="shared" si="8"/>
        <v>45016</v>
      </c>
    </row>
    <row r="114" spans="1:18" x14ac:dyDescent="0.25">
      <c r="A114" s="2" t="s">
        <v>249</v>
      </c>
      <c r="B114" s="1">
        <v>45551</v>
      </c>
      <c r="C114" s="2" t="s">
        <v>154</v>
      </c>
      <c r="D114" s="2" t="s">
        <v>155</v>
      </c>
      <c r="E114" s="2" t="s">
        <v>126</v>
      </c>
      <c r="F114" s="2" t="s">
        <v>127</v>
      </c>
      <c r="G114" s="2" t="s">
        <v>46</v>
      </c>
      <c r="H114" s="3">
        <v>4</v>
      </c>
      <c r="I114" s="4">
        <v>199.99</v>
      </c>
      <c r="J114" s="2" t="s">
        <v>57</v>
      </c>
      <c r="K114" s="2" t="s">
        <v>63</v>
      </c>
      <c r="L114" s="2" t="s">
        <v>22</v>
      </c>
      <c r="M114" s="1">
        <v>44458</v>
      </c>
      <c r="N114" s="4">
        <f t="shared" si="9"/>
        <v>799.96</v>
      </c>
      <c r="O114" s="2">
        <f t="shared" ca="1" si="5"/>
        <v>5</v>
      </c>
      <c r="P114" s="13">
        <f t="shared" ca="1" si="6"/>
        <v>46305</v>
      </c>
      <c r="Q114" s="16">
        <f t="shared" ca="1" si="7"/>
        <v>0</v>
      </c>
      <c r="R114" s="1">
        <f t="shared" si="8"/>
        <v>44469</v>
      </c>
    </row>
    <row r="115" spans="1:18" x14ac:dyDescent="0.25">
      <c r="A115" s="2" t="s">
        <v>250</v>
      </c>
      <c r="B115" s="1">
        <v>45554</v>
      </c>
      <c r="C115" s="2" t="s">
        <v>147</v>
      </c>
      <c r="D115" s="2" t="s">
        <v>148</v>
      </c>
      <c r="E115" s="2" t="s">
        <v>117</v>
      </c>
      <c r="F115" s="2" t="s">
        <v>118</v>
      </c>
      <c r="G115" s="2" t="s">
        <v>19</v>
      </c>
      <c r="H115" s="3">
        <v>5</v>
      </c>
      <c r="I115" s="4">
        <v>89.99</v>
      </c>
      <c r="J115" s="2" t="s">
        <v>26</v>
      </c>
      <c r="K115" s="2" t="s">
        <v>63</v>
      </c>
      <c r="L115" s="2" t="s">
        <v>27</v>
      </c>
      <c r="M115" s="1">
        <v>44446</v>
      </c>
      <c r="N115" s="4">
        <f t="shared" si="9"/>
        <v>449.95</v>
      </c>
      <c r="O115" s="2">
        <f t="shared" ca="1" si="5"/>
        <v>5</v>
      </c>
      <c r="P115" s="13">
        <f t="shared" ca="1" si="6"/>
        <v>46305</v>
      </c>
      <c r="Q115" s="16">
        <f t="shared" ca="1" si="7"/>
        <v>0</v>
      </c>
      <c r="R115" s="1">
        <f t="shared" si="8"/>
        <v>44469</v>
      </c>
    </row>
    <row r="116" spans="1:18" x14ac:dyDescent="0.25">
      <c r="A116" s="2" t="s">
        <v>251</v>
      </c>
      <c r="B116" s="1">
        <v>45554</v>
      </c>
      <c r="C116" s="2" t="s">
        <v>252</v>
      </c>
      <c r="D116" s="2" t="s">
        <v>253</v>
      </c>
      <c r="E116" s="2" t="s">
        <v>52</v>
      </c>
      <c r="F116" s="2" t="s">
        <v>53</v>
      </c>
      <c r="G116" s="2" t="s">
        <v>19</v>
      </c>
      <c r="H116" s="3">
        <v>1</v>
      </c>
      <c r="I116" s="4">
        <v>149.99</v>
      </c>
      <c r="J116" s="2" t="s">
        <v>34</v>
      </c>
      <c r="K116" s="2" t="s">
        <v>63</v>
      </c>
      <c r="L116" s="2" t="s">
        <v>36</v>
      </c>
      <c r="M116" s="1">
        <v>44482</v>
      </c>
      <c r="N116" s="4">
        <f t="shared" si="9"/>
        <v>149.99</v>
      </c>
      <c r="O116" s="2">
        <f t="shared" ca="1" si="5"/>
        <v>4</v>
      </c>
      <c r="P116" s="13">
        <f t="shared" ca="1" si="6"/>
        <v>46305</v>
      </c>
      <c r="Q116" s="16">
        <f t="shared" ca="1" si="7"/>
        <v>0</v>
      </c>
      <c r="R116" s="1">
        <f t="shared" si="8"/>
        <v>44500</v>
      </c>
    </row>
    <row r="117" spans="1:18" x14ac:dyDescent="0.25">
      <c r="A117" s="2" t="s">
        <v>254</v>
      </c>
      <c r="B117" s="1">
        <v>45554</v>
      </c>
      <c r="C117" s="2" t="s">
        <v>72</v>
      </c>
      <c r="D117" s="2" t="s">
        <v>73</v>
      </c>
      <c r="E117" s="2" t="s">
        <v>80</v>
      </c>
      <c r="F117" s="2" t="s">
        <v>81</v>
      </c>
      <c r="G117" s="2" t="s">
        <v>19</v>
      </c>
      <c r="H117" s="3">
        <v>4</v>
      </c>
      <c r="I117" s="4">
        <v>699.99</v>
      </c>
      <c r="J117" s="2" t="s">
        <v>34</v>
      </c>
      <c r="K117" s="2" t="s">
        <v>35</v>
      </c>
      <c r="L117" s="2" t="s">
        <v>22</v>
      </c>
      <c r="M117" s="1">
        <v>44618</v>
      </c>
      <c r="N117" s="4">
        <f t="shared" si="9"/>
        <v>2799.96</v>
      </c>
      <c r="O117" s="2">
        <f t="shared" ca="1" si="5"/>
        <v>4</v>
      </c>
      <c r="P117" s="13">
        <f t="shared" ca="1" si="6"/>
        <v>46305</v>
      </c>
      <c r="Q117" s="16">
        <f t="shared" ca="1" si="7"/>
        <v>0</v>
      </c>
      <c r="R117" s="1">
        <f t="shared" si="8"/>
        <v>44620</v>
      </c>
    </row>
    <row r="118" spans="1:18" x14ac:dyDescent="0.25">
      <c r="A118" s="2" t="s">
        <v>255</v>
      </c>
      <c r="B118" s="1">
        <v>45559</v>
      </c>
      <c r="C118" s="2" t="s">
        <v>234</v>
      </c>
      <c r="D118" s="2" t="s">
        <v>235</v>
      </c>
      <c r="E118" s="2" t="s">
        <v>61</v>
      </c>
      <c r="F118" s="2" t="s">
        <v>62</v>
      </c>
      <c r="G118" s="2" t="s">
        <v>19</v>
      </c>
      <c r="H118" s="3">
        <v>3</v>
      </c>
      <c r="I118" s="4">
        <v>899.99</v>
      </c>
      <c r="J118" s="2" t="s">
        <v>26</v>
      </c>
      <c r="K118" s="2" t="s">
        <v>40</v>
      </c>
      <c r="L118" s="2" t="s">
        <v>36</v>
      </c>
      <c r="M118" s="1">
        <v>45157</v>
      </c>
      <c r="N118" s="4">
        <f t="shared" si="9"/>
        <v>2699.9700000000003</v>
      </c>
      <c r="O118" s="2">
        <f t="shared" ca="1" si="5"/>
        <v>3</v>
      </c>
      <c r="P118" s="13">
        <f t="shared" ca="1" si="6"/>
        <v>46305</v>
      </c>
      <c r="Q118" s="16">
        <f t="shared" ca="1" si="7"/>
        <v>0</v>
      </c>
      <c r="R118" s="1">
        <f t="shared" si="8"/>
        <v>45169</v>
      </c>
    </row>
    <row r="119" spans="1:18" x14ac:dyDescent="0.25">
      <c r="A119" s="2" t="s">
        <v>256</v>
      </c>
      <c r="B119" s="1">
        <v>45560</v>
      </c>
      <c r="C119" s="2" t="s">
        <v>112</v>
      </c>
      <c r="D119" s="2" t="s">
        <v>113</v>
      </c>
      <c r="E119" s="2" t="s">
        <v>44</v>
      </c>
      <c r="F119" s="2" t="s">
        <v>45</v>
      </c>
      <c r="G119" s="2" t="s">
        <v>46</v>
      </c>
      <c r="H119" s="3">
        <v>3</v>
      </c>
      <c r="I119" s="4">
        <v>149.99</v>
      </c>
      <c r="J119" s="2" t="s">
        <v>34</v>
      </c>
      <c r="K119" s="2" t="s">
        <v>63</v>
      </c>
      <c r="L119" s="2" t="s">
        <v>22</v>
      </c>
      <c r="M119" s="1">
        <v>44886</v>
      </c>
      <c r="N119" s="4">
        <f t="shared" si="9"/>
        <v>449.97</v>
      </c>
      <c r="O119" s="2">
        <f t="shared" ca="1" si="5"/>
        <v>3</v>
      </c>
      <c r="P119" s="13">
        <f t="shared" ca="1" si="6"/>
        <v>46305</v>
      </c>
      <c r="Q119" s="16">
        <f t="shared" ca="1" si="7"/>
        <v>0</v>
      </c>
      <c r="R119" s="1">
        <f t="shared" si="8"/>
        <v>44895</v>
      </c>
    </row>
    <row r="120" spans="1:18" x14ac:dyDescent="0.25">
      <c r="A120" s="2" t="s">
        <v>257</v>
      </c>
      <c r="B120" s="1">
        <v>45563</v>
      </c>
      <c r="C120" s="2" t="s">
        <v>99</v>
      </c>
      <c r="D120" s="2" t="s">
        <v>100</v>
      </c>
      <c r="E120" s="2" t="s">
        <v>105</v>
      </c>
      <c r="F120" s="2" t="s">
        <v>106</v>
      </c>
      <c r="G120" s="2" t="s">
        <v>46</v>
      </c>
      <c r="H120" s="3">
        <v>2</v>
      </c>
      <c r="I120" s="4">
        <v>299.99</v>
      </c>
      <c r="J120" s="2" t="s">
        <v>57</v>
      </c>
      <c r="K120" s="2" t="s">
        <v>21</v>
      </c>
      <c r="L120" s="2" t="s">
        <v>22</v>
      </c>
      <c r="M120" s="1">
        <v>44569</v>
      </c>
      <c r="N120" s="4">
        <f t="shared" si="9"/>
        <v>599.98</v>
      </c>
      <c r="O120" s="2">
        <f t="shared" ca="1" si="5"/>
        <v>4</v>
      </c>
      <c r="P120" s="13">
        <f t="shared" ca="1" si="6"/>
        <v>46305</v>
      </c>
      <c r="Q120" s="16">
        <f t="shared" ca="1" si="7"/>
        <v>0</v>
      </c>
      <c r="R120" s="1">
        <f t="shared" si="8"/>
        <v>44592</v>
      </c>
    </row>
    <row r="121" spans="1:18" x14ac:dyDescent="0.25">
      <c r="A121" s="2" t="s">
        <v>258</v>
      </c>
      <c r="B121" s="1">
        <v>45564</v>
      </c>
      <c r="C121" s="2" t="s">
        <v>259</v>
      </c>
      <c r="D121" s="2" t="s">
        <v>260</v>
      </c>
      <c r="E121" s="2" t="s">
        <v>126</v>
      </c>
      <c r="F121" s="2" t="s">
        <v>127</v>
      </c>
      <c r="G121" s="2" t="s">
        <v>46</v>
      </c>
      <c r="H121" s="3">
        <v>1</v>
      </c>
      <c r="I121" s="4">
        <v>199.99</v>
      </c>
      <c r="J121" s="2" t="s">
        <v>57</v>
      </c>
      <c r="K121" s="2" t="s">
        <v>63</v>
      </c>
      <c r="L121" s="2" t="s">
        <v>36</v>
      </c>
      <c r="M121" s="1">
        <v>44953</v>
      </c>
      <c r="N121" s="4">
        <f t="shared" si="9"/>
        <v>199.99</v>
      </c>
      <c r="O121" s="2">
        <f t="shared" ca="1" si="5"/>
        <v>3</v>
      </c>
      <c r="P121" s="13">
        <f t="shared" ca="1" si="6"/>
        <v>46305</v>
      </c>
      <c r="Q121" s="16">
        <f t="shared" ca="1" si="7"/>
        <v>0</v>
      </c>
      <c r="R121" s="1">
        <f t="shared" si="8"/>
        <v>44957</v>
      </c>
    </row>
    <row r="122" spans="1:18" x14ac:dyDescent="0.25">
      <c r="A122" s="2" t="s">
        <v>261</v>
      </c>
      <c r="B122" s="1">
        <v>45566</v>
      </c>
      <c r="C122" s="2" t="s">
        <v>42</v>
      </c>
      <c r="D122" s="2" t="s">
        <v>43</v>
      </c>
      <c r="E122" s="2" t="s">
        <v>105</v>
      </c>
      <c r="F122" s="2" t="s">
        <v>106</v>
      </c>
      <c r="G122" s="2" t="s">
        <v>46</v>
      </c>
      <c r="H122" s="3">
        <v>4</v>
      </c>
      <c r="I122" s="4">
        <v>299.99</v>
      </c>
      <c r="J122" s="2" t="s">
        <v>20</v>
      </c>
      <c r="K122" s="2" t="s">
        <v>21</v>
      </c>
      <c r="L122" s="2" t="s">
        <v>27</v>
      </c>
      <c r="M122" s="1">
        <v>44460</v>
      </c>
      <c r="N122" s="4">
        <f t="shared" si="9"/>
        <v>1199.96</v>
      </c>
      <c r="O122" s="2">
        <f t="shared" ca="1" si="5"/>
        <v>5</v>
      </c>
      <c r="P122" s="13">
        <f t="shared" ca="1" si="6"/>
        <v>46305</v>
      </c>
      <c r="Q122" s="16">
        <f t="shared" ca="1" si="7"/>
        <v>0</v>
      </c>
      <c r="R122" s="1">
        <f t="shared" si="8"/>
        <v>44469</v>
      </c>
    </row>
    <row r="123" spans="1:18" x14ac:dyDescent="0.25">
      <c r="A123" s="2" t="s">
        <v>262</v>
      </c>
      <c r="B123" s="1">
        <v>45572</v>
      </c>
      <c r="C123" s="2" t="s">
        <v>89</v>
      </c>
      <c r="D123" s="2" t="s">
        <v>90</v>
      </c>
      <c r="E123" s="2" t="s">
        <v>31</v>
      </c>
      <c r="F123" s="2" t="s">
        <v>32</v>
      </c>
      <c r="G123" s="2" t="s">
        <v>33</v>
      </c>
      <c r="H123" s="3">
        <v>2</v>
      </c>
      <c r="I123" s="4">
        <v>59.99</v>
      </c>
      <c r="J123" s="2" t="s">
        <v>26</v>
      </c>
      <c r="K123" s="2" t="s">
        <v>21</v>
      </c>
      <c r="L123" s="2" t="s">
        <v>22</v>
      </c>
      <c r="M123" s="1">
        <v>44579</v>
      </c>
      <c r="N123" s="4">
        <f t="shared" si="9"/>
        <v>119.98</v>
      </c>
      <c r="O123" s="2">
        <f t="shared" ca="1" si="5"/>
        <v>4</v>
      </c>
      <c r="P123" s="13">
        <f t="shared" ca="1" si="6"/>
        <v>46305</v>
      </c>
      <c r="Q123" s="16">
        <f t="shared" ca="1" si="7"/>
        <v>0</v>
      </c>
      <c r="R123" s="1">
        <f t="shared" si="8"/>
        <v>44592</v>
      </c>
    </row>
    <row r="124" spans="1:18" x14ac:dyDescent="0.25">
      <c r="A124" s="2" t="s">
        <v>263</v>
      </c>
      <c r="B124" s="1">
        <v>45572</v>
      </c>
      <c r="C124" s="2" t="s">
        <v>234</v>
      </c>
      <c r="D124" s="2" t="s">
        <v>235</v>
      </c>
      <c r="E124" s="2" t="s">
        <v>52</v>
      </c>
      <c r="F124" s="2" t="s">
        <v>53</v>
      </c>
      <c r="G124" s="2" t="s">
        <v>19</v>
      </c>
      <c r="H124" s="3">
        <v>4</v>
      </c>
      <c r="I124" s="4">
        <v>149.99</v>
      </c>
      <c r="J124" s="2" t="s">
        <v>26</v>
      </c>
      <c r="K124" s="2" t="s">
        <v>40</v>
      </c>
      <c r="L124" s="2" t="s">
        <v>27</v>
      </c>
      <c r="M124" s="1">
        <v>45076</v>
      </c>
      <c r="N124" s="4">
        <f t="shared" si="9"/>
        <v>599.96</v>
      </c>
      <c r="O124" s="2">
        <f t="shared" ca="1" si="5"/>
        <v>3</v>
      </c>
      <c r="P124" s="13">
        <f t="shared" ca="1" si="6"/>
        <v>46305</v>
      </c>
      <c r="Q124" s="16">
        <f t="shared" ca="1" si="7"/>
        <v>0</v>
      </c>
      <c r="R124" s="1">
        <f t="shared" si="8"/>
        <v>45077</v>
      </c>
    </row>
    <row r="125" spans="1:18" x14ac:dyDescent="0.25">
      <c r="A125" s="2" t="s">
        <v>264</v>
      </c>
      <c r="B125" s="1">
        <v>45573</v>
      </c>
      <c r="C125" s="2" t="s">
        <v>211</v>
      </c>
      <c r="D125" s="2" t="s">
        <v>212</v>
      </c>
      <c r="E125" s="2" t="s">
        <v>80</v>
      </c>
      <c r="F125" s="2" t="s">
        <v>81</v>
      </c>
      <c r="G125" s="2" t="s">
        <v>19</v>
      </c>
      <c r="H125" s="3">
        <v>2</v>
      </c>
      <c r="I125" s="4">
        <v>699.99</v>
      </c>
      <c r="J125" s="2" t="s">
        <v>57</v>
      </c>
      <c r="K125" s="2" t="s">
        <v>63</v>
      </c>
      <c r="L125" s="2" t="s">
        <v>27</v>
      </c>
      <c r="M125" s="1">
        <v>45274</v>
      </c>
      <c r="N125" s="4">
        <f t="shared" si="9"/>
        <v>1399.98</v>
      </c>
      <c r="O125" s="2">
        <f t="shared" ca="1" si="5"/>
        <v>2</v>
      </c>
      <c r="P125" s="13">
        <f t="shared" ca="1" si="6"/>
        <v>46305</v>
      </c>
      <c r="Q125" s="16">
        <f t="shared" ca="1" si="7"/>
        <v>0</v>
      </c>
      <c r="R125" s="1">
        <f t="shared" si="8"/>
        <v>45291</v>
      </c>
    </row>
    <row r="126" spans="1:18" x14ac:dyDescent="0.25">
      <c r="A126" s="2" t="s">
        <v>265</v>
      </c>
      <c r="B126" s="1">
        <v>45573</v>
      </c>
      <c r="C126" s="2" t="s">
        <v>231</v>
      </c>
      <c r="D126" s="2" t="s">
        <v>232</v>
      </c>
      <c r="E126" s="2" t="s">
        <v>44</v>
      </c>
      <c r="F126" s="2" t="s">
        <v>45</v>
      </c>
      <c r="G126" s="2" t="s">
        <v>46</v>
      </c>
      <c r="H126" s="3">
        <v>3</v>
      </c>
      <c r="I126" s="4">
        <v>149.99</v>
      </c>
      <c r="J126" s="2" t="s">
        <v>26</v>
      </c>
      <c r="K126" s="2" t="s">
        <v>35</v>
      </c>
      <c r="L126" s="2" t="s">
        <v>36</v>
      </c>
      <c r="M126" s="1">
        <v>44940</v>
      </c>
      <c r="N126" s="4">
        <f t="shared" si="9"/>
        <v>449.97</v>
      </c>
      <c r="O126" s="2">
        <f t="shared" ca="1" si="5"/>
        <v>3</v>
      </c>
      <c r="P126" s="13">
        <f t="shared" ca="1" si="6"/>
        <v>46305</v>
      </c>
      <c r="Q126" s="16">
        <f t="shared" ca="1" si="7"/>
        <v>0</v>
      </c>
      <c r="R126" s="1">
        <f t="shared" si="8"/>
        <v>44957</v>
      </c>
    </row>
    <row r="127" spans="1:18" x14ac:dyDescent="0.25">
      <c r="A127" s="2" t="s">
        <v>266</v>
      </c>
      <c r="B127" s="1">
        <v>45576</v>
      </c>
      <c r="C127" s="2" t="s">
        <v>147</v>
      </c>
      <c r="D127" s="2" t="s">
        <v>148</v>
      </c>
      <c r="E127" s="2" t="s">
        <v>105</v>
      </c>
      <c r="F127" s="2" t="s">
        <v>106</v>
      </c>
      <c r="G127" s="2" t="s">
        <v>46</v>
      </c>
      <c r="H127" s="3">
        <v>3</v>
      </c>
      <c r="I127" s="4">
        <v>299.99</v>
      </c>
      <c r="J127" s="2" t="s">
        <v>26</v>
      </c>
      <c r="K127" s="2" t="s">
        <v>21</v>
      </c>
      <c r="L127" s="2" t="s">
        <v>36</v>
      </c>
      <c r="M127" s="1">
        <v>45174</v>
      </c>
      <c r="N127" s="4">
        <f t="shared" si="9"/>
        <v>899.97</v>
      </c>
      <c r="O127" s="2">
        <f t="shared" ca="1" si="5"/>
        <v>3</v>
      </c>
      <c r="P127" s="13">
        <f t="shared" ca="1" si="6"/>
        <v>46305</v>
      </c>
      <c r="Q127" s="16">
        <f t="shared" ca="1" si="7"/>
        <v>0</v>
      </c>
      <c r="R127" s="1">
        <f t="shared" si="8"/>
        <v>45199</v>
      </c>
    </row>
    <row r="128" spans="1:18" x14ac:dyDescent="0.25">
      <c r="A128" s="2" t="s">
        <v>267</v>
      </c>
      <c r="B128" s="1">
        <v>45579</v>
      </c>
      <c r="C128" s="2" t="s">
        <v>83</v>
      </c>
      <c r="D128" s="2" t="s">
        <v>84</v>
      </c>
      <c r="E128" s="2" t="s">
        <v>61</v>
      </c>
      <c r="F128" s="2" t="s">
        <v>62</v>
      </c>
      <c r="G128" s="2" t="s">
        <v>19</v>
      </c>
      <c r="H128" s="3">
        <v>3</v>
      </c>
      <c r="I128" s="4">
        <v>899.99</v>
      </c>
      <c r="J128" s="2" t="s">
        <v>34</v>
      </c>
      <c r="K128" s="2" t="s">
        <v>50</v>
      </c>
      <c r="L128" s="2" t="s">
        <v>22</v>
      </c>
      <c r="M128" s="1">
        <v>45215</v>
      </c>
      <c r="N128" s="4">
        <f t="shared" si="9"/>
        <v>2699.9700000000003</v>
      </c>
      <c r="O128" s="2">
        <f t="shared" ca="1" si="5"/>
        <v>2</v>
      </c>
      <c r="P128" s="13">
        <f t="shared" ca="1" si="6"/>
        <v>46305</v>
      </c>
      <c r="Q128" s="16">
        <f t="shared" ca="1" si="7"/>
        <v>0</v>
      </c>
      <c r="R128" s="1">
        <f t="shared" si="8"/>
        <v>45230</v>
      </c>
    </row>
    <row r="129" spans="1:18" x14ac:dyDescent="0.25">
      <c r="A129" s="2" t="s">
        <v>268</v>
      </c>
      <c r="B129" s="1">
        <v>45581</v>
      </c>
      <c r="C129" s="2" t="s">
        <v>96</v>
      </c>
      <c r="D129" s="2" t="s">
        <v>97</v>
      </c>
      <c r="E129" s="2" t="s">
        <v>80</v>
      </c>
      <c r="F129" s="2" t="s">
        <v>81</v>
      </c>
      <c r="G129" s="2" t="s">
        <v>19</v>
      </c>
      <c r="H129" s="3">
        <v>5</v>
      </c>
      <c r="I129" s="4">
        <v>699.99</v>
      </c>
      <c r="J129" s="2" t="s">
        <v>20</v>
      </c>
      <c r="K129" s="2" t="s">
        <v>63</v>
      </c>
      <c r="L129" s="2" t="s">
        <v>36</v>
      </c>
      <c r="M129" s="1">
        <v>45008</v>
      </c>
      <c r="N129" s="4">
        <f t="shared" si="9"/>
        <v>3499.95</v>
      </c>
      <c r="O129" s="2">
        <f t="shared" ca="1" si="5"/>
        <v>3</v>
      </c>
      <c r="P129" s="13">
        <f t="shared" ca="1" si="6"/>
        <v>46305</v>
      </c>
      <c r="Q129" s="16">
        <f t="shared" ca="1" si="7"/>
        <v>0</v>
      </c>
      <c r="R129" s="1">
        <f t="shared" si="8"/>
        <v>45016</v>
      </c>
    </row>
    <row r="130" spans="1:18" x14ac:dyDescent="0.25">
      <c r="A130" s="2" t="s">
        <v>269</v>
      </c>
      <c r="B130" s="1">
        <v>45581</v>
      </c>
      <c r="C130" s="2" t="s">
        <v>171</v>
      </c>
      <c r="D130" s="2" t="s">
        <v>172</v>
      </c>
      <c r="E130" s="2" t="s">
        <v>80</v>
      </c>
      <c r="F130" s="2" t="s">
        <v>81</v>
      </c>
      <c r="G130" s="2" t="s">
        <v>19</v>
      </c>
      <c r="H130" s="3">
        <v>4</v>
      </c>
      <c r="I130" s="4">
        <v>699.99</v>
      </c>
      <c r="J130" s="2" t="s">
        <v>26</v>
      </c>
      <c r="K130" s="2" t="s">
        <v>21</v>
      </c>
      <c r="L130" s="2" t="s">
        <v>22</v>
      </c>
      <c r="M130" s="1">
        <v>45385</v>
      </c>
      <c r="N130" s="4">
        <f t="shared" si="9"/>
        <v>2799.96</v>
      </c>
      <c r="O130" s="2">
        <f t="shared" ref="O130:O193" ca="1" si="10">DATEDIF(M130,TODAY(),"Y")</f>
        <v>2</v>
      </c>
      <c r="P130" s="13">
        <f t="shared" ref="P130:P193" ca="1" si="11">TODAY()</f>
        <v>46305</v>
      </c>
      <c r="Q130" s="16">
        <f t="shared" ref="Q130:Q193" ca="1" si="12">IF(A130&lt;&gt;"",IF(Q130="",NOW(),Q130),"")</f>
        <v>0</v>
      </c>
      <c r="R130" s="1">
        <f t="shared" ref="R130:R193" si="13">EOMONTH(M130,0)</f>
        <v>45412</v>
      </c>
    </row>
    <row r="131" spans="1:18" x14ac:dyDescent="0.25">
      <c r="A131" s="2" t="s">
        <v>270</v>
      </c>
      <c r="B131" s="1">
        <v>45581</v>
      </c>
      <c r="C131" s="2" t="s">
        <v>150</v>
      </c>
      <c r="D131" s="2" t="s">
        <v>151</v>
      </c>
      <c r="E131" s="2" t="s">
        <v>61</v>
      </c>
      <c r="F131" s="2" t="s">
        <v>62</v>
      </c>
      <c r="G131" s="2" t="s">
        <v>19</v>
      </c>
      <c r="H131" s="3">
        <v>1</v>
      </c>
      <c r="I131" s="4">
        <v>899.99</v>
      </c>
      <c r="J131" s="2" t="s">
        <v>26</v>
      </c>
      <c r="K131" s="2" t="s">
        <v>63</v>
      </c>
      <c r="L131" s="2" t="s">
        <v>36</v>
      </c>
      <c r="M131" s="1">
        <v>45369</v>
      </c>
      <c r="N131" s="4">
        <f t="shared" ref="N131:N194" si="14">H131*I131</f>
        <v>899.99</v>
      </c>
      <c r="O131" s="2">
        <f t="shared" ca="1" si="10"/>
        <v>2</v>
      </c>
      <c r="P131" s="13">
        <f t="shared" ca="1" si="11"/>
        <v>46305</v>
      </c>
      <c r="Q131" s="16">
        <f t="shared" ca="1" si="12"/>
        <v>0</v>
      </c>
      <c r="R131" s="1">
        <f t="shared" si="13"/>
        <v>45382</v>
      </c>
    </row>
    <row r="132" spans="1:18" x14ac:dyDescent="0.25">
      <c r="A132" s="2" t="s">
        <v>271</v>
      </c>
      <c r="B132" s="1">
        <v>45583</v>
      </c>
      <c r="C132" s="2" t="s">
        <v>226</v>
      </c>
      <c r="D132" s="2" t="s">
        <v>227</v>
      </c>
      <c r="E132" s="2" t="s">
        <v>52</v>
      </c>
      <c r="F132" s="2" t="s">
        <v>53</v>
      </c>
      <c r="G132" s="2" t="s">
        <v>19</v>
      </c>
      <c r="H132" s="3">
        <v>2</v>
      </c>
      <c r="I132" s="4">
        <v>149.99</v>
      </c>
      <c r="J132" s="2" t="s">
        <v>26</v>
      </c>
      <c r="K132" s="2" t="s">
        <v>50</v>
      </c>
      <c r="L132" s="2" t="s">
        <v>22</v>
      </c>
      <c r="M132" s="1">
        <v>44916</v>
      </c>
      <c r="N132" s="4">
        <f t="shared" si="14"/>
        <v>299.98</v>
      </c>
      <c r="O132" s="2">
        <f t="shared" ca="1" si="10"/>
        <v>3</v>
      </c>
      <c r="P132" s="13">
        <f t="shared" ca="1" si="11"/>
        <v>46305</v>
      </c>
      <c r="Q132" s="16">
        <f t="shared" ca="1" si="12"/>
        <v>0</v>
      </c>
      <c r="R132" s="1">
        <f t="shared" si="13"/>
        <v>44926</v>
      </c>
    </row>
    <row r="133" spans="1:18" x14ac:dyDescent="0.25">
      <c r="A133" s="2" t="s">
        <v>272</v>
      </c>
      <c r="B133" s="1">
        <v>45586</v>
      </c>
      <c r="C133" s="2" t="s">
        <v>226</v>
      </c>
      <c r="D133" s="2" t="s">
        <v>227</v>
      </c>
      <c r="E133" s="2" t="s">
        <v>117</v>
      </c>
      <c r="F133" s="2" t="s">
        <v>118</v>
      </c>
      <c r="G133" s="2" t="s">
        <v>19</v>
      </c>
      <c r="H133" s="3">
        <v>3</v>
      </c>
      <c r="I133" s="4">
        <v>89.99</v>
      </c>
      <c r="J133" s="2" t="s">
        <v>34</v>
      </c>
      <c r="K133" s="2" t="s">
        <v>21</v>
      </c>
      <c r="L133" s="2" t="s">
        <v>22</v>
      </c>
      <c r="M133" s="1">
        <v>44551</v>
      </c>
      <c r="N133" s="4">
        <f t="shared" si="14"/>
        <v>269.96999999999997</v>
      </c>
      <c r="O133" s="2">
        <f t="shared" ca="1" si="10"/>
        <v>4</v>
      </c>
      <c r="P133" s="13">
        <f t="shared" ca="1" si="11"/>
        <v>46305</v>
      </c>
      <c r="Q133" s="16">
        <f t="shared" ca="1" si="12"/>
        <v>0</v>
      </c>
      <c r="R133" s="1">
        <f t="shared" si="13"/>
        <v>44561</v>
      </c>
    </row>
    <row r="134" spans="1:18" ht="17.25" customHeight="1" x14ac:dyDescent="0.25">
      <c r="A134" s="2" t="s">
        <v>273</v>
      </c>
      <c r="B134" s="1">
        <v>45588</v>
      </c>
      <c r="C134" s="2" t="s">
        <v>38</v>
      </c>
      <c r="D134" s="2" t="s">
        <v>39</v>
      </c>
      <c r="E134" s="2" t="s">
        <v>52</v>
      </c>
      <c r="F134" s="2" t="s">
        <v>53</v>
      </c>
      <c r="G134" s="2" t="s">
        <v>19</v>
      </c>
      <c r="H134" s="3">
        <v>2</v>
      </c>
      <c r="I134" s="4">
        <v>149.99</v>
      </c>
      <c r="J134" s="2" t="s">
        <v>34</v>
      </c>
      <c r="K134" s="2" t="s">
        <v>21</v>
      </c>
      <c r="L134" s="2" t="s">
        <v>22</v>
      </c>
      <c r="M134" s="1">
        <v>44473</v>
      </c>
      <c r="N134" s="4">
        <f t="shared" si="14"/>
        <v>299.98</v>
      </c>
      <c r="O134" s="2">
        <f t="shared" ca="1" si="10"/>
        <v>5</v>
      </c>
      <c r="P134" s="13">
        <f t="shared" ca="1" si="11"/>
        <v>46305</v>
      </c>
      <c r="Q134" s="16">
        <f t="shared" ca="1" si="12"/>
        <v>0</v>
      </c>
      <c r="R134" s="1">
        <f t="shared" si="13"/>
        <v>44500</v>
      </c>
    </row>
    <row r="135" spans="1:18" x14ac:dyDescent="0.25">
      <c r="A135" s="2" t="s">
        <v>274</v>
      </c>
      <c r="B135" s="1">
        <v>45588</v>
      </c>
      <c r="C135" s="2" t="s">
        <v>154</v>
      </c>
      <c r="D135" s="2" t="s">
        <v>155</v>
      </c>
      <c r="E135" s="2" t="s">
        <v>80</v>
      </c>
      <c r="F135" s="2" t="s">
        <v>81</v>
      </c>
      <c r="G135" s="2" t="s">
        <v>19</v>
      </c>
      <c r="H135" s="3">
        <v>2</v>
      </c>
      <c r="I135" s="4">
        <v>699.99</v>
      </c>
      <c r="J135" s="2" t="s">
        <v>20</v>
      </c>
      <c r="K135" s="2" t="s">
        <v>21</v>
      </c>
      <c r="L135" s="2" t="s">
        <v>22</v>
      </c>
      <c r="M135" s="1">
        <v>44992</v>
      </c>
      <c r="N135" s="4">
        <f t="shared" si="14"/>
        <v>1399.98</v>
      </c>
      <c r="O135" s="2">
        <f t="shared" ca="1" si="10"/>
        <v>3</v>
      </c>
      <c r="P135" s="13">
        <f t="shared" ca="1" si="11"/>
        <v>46305</v>
      </c>
      <c r="Q135" s="16">
        <f t="shared" ca="1" si="12"/>
        <v>0</v>
      </c>
      <c r="R135" s="1">
        <f t="shared" si="13"/>
        <v>45016</v>
      </c>
    </row>
    <row r="136" spans="1:18" x14ac:dyDescent="0.25">
      <c r="A136" s="2" t="s">
        <v>275</v>
      </c>
      <c r="B136" s="1">
        <v>45589</v>
      </c>
      <c r="C136" s="2" t="s">
        <v>158</v>
      </c>
      <c r="D136" s="2" t="s">
        <v>159</v>
      </c>
      <c r="E136" s="2" t="s">
        <v>80</v>
      </c>
      <c r="F136" s="2" t="s">
        <v>81</v>
      </c>
      <c r="G136" s="2" t="s">
        <v>19</v>
      </c>
      <c r="H136" s="3">
        <v>5</v>
      </c>
      <c r="I136" s="4">
        <v>699.99</v>
      </c>
      <c r="J136" s="2" t="s">
        <v>20</v>
      </c>
      <c r="K136" s="2" t="s">
        <v>40</v>
      </c>
      <c r="L136" s="2" t="s">
        <v>27</v>
      </c>
      <c r="M136" s="1">
        <v>44635</v>
      </c>
      <c r="N136" s="4">
        <f t="shared" si="14"/>
        <v>3499.95</v>
      </c>
      <c r="O136" s="2">
        <f t="shared" ca="1" si="10"/>
        <v>4</v>
      </c>
      <c r="P136" s="13">
        <f t="shared" ca="1" si="11"/>
        <v>46305</v>
      </c>
      <c r="Q136" s="16">
        <f t="shared" ca="1" si="12"/>
        <v>0</v>
      </c>
      <c r="R136" s="1">
        <f t="shared" si="13"/>
        <v>44651</v>
      </c>
    </row>
    <row r="137" spans="1:18" x14ac:dyDescent="0.25">
      <c r="A137" s="2" t="s">
        <v>276</v>
      </c>
      <c r="B137" s="1">
        <v>45592</v>
      </c>
      <c r="C137" s="2" t="s">
        <v>171</v>
      </c>
      <c r="D137" s="2" t="s">
        <v>172</v>
      </c>
      <c r="E137" s="2" t="s">
        <v>117</v>
      </c>
      <c r="F137" s="2" t="s">
        <v>118</v>
      </c>
      <c r="G137" s="2" t="s">
        <v>19</v>
      </c>
      <c r="H137" s="3">
        <v>3</v>
      </c>
      <c r="I137" s="4">
        <v>89.99</v>
      </c>
      <c r="J137" s="2" t="s">
        <v>26</v>
      </c>
      <c r="K137" s="2" t="s">
        <v>40</v>
      </c>
      <c r="L137" s="2" t="s">
        <v>36</v>
      </c>
      <c r="M137" s="1">
        <v>44615</v>
      </c>
      <c r="N137" s="4">
        <f t="shared" si="14"/>
        <v>269.96999999999997</v>
      </c>
      <c r="O137" s="2">
        <f t="shared" ca="1" si="10"/>
        <v>4</v>
      </c>
      <c r="P137" s="13">
        <f t="shared" ca="1" si="11"/>
        <v>46305</v>
      </c>
      <c r="Q137" s="16">
        <f t="shared" ca="1" si="12"/>
        <v>0</v>
      </c>
      <c r="R137" s="1">
        <f t="shared" si="13"/>
        <v>44620</v>
      </c>
    </row>
    <row r="138" spans="1:18" x14ac:dyDescent="0.25">
      <c r="A138" s="2" t="s">
        <v>277</v>
      </c>
      <c r="B138" s="1">
        <v>45597</v>
      </c>
      <c r="C138" s="2" t="s">
        <v>15</v>
      </c>
      <c r="D138" s="2" t="s">
        <v>16</v>
      </c>
      <c r="E138" s="2" t="s">
        <v>17</v>
      </c>
      <c r="F138" s="2" t="s">
        <v>18</v>
      </c>
      <c r="G138" s="2" t="s">
        <v>19</v>
      </c>
      <c r="H138" s="3">
        <v>5</v>
      </c>
      <c r="I138" s="4">
        <v>249.99</v>
      </c>
      <c r="J138" s="2" t="s">
        <v>26</v>
      </c>
      <c r="K138" s="2" t="s">
        <v>35</v>
      </c>
      <c r="L138" s="2" t="s">
        <v>36</v>
      </c>
      <c r="M138" s="1">
        <v>44881</v>
      </c>
      <c r="N138" s="4">
        <f t="shared" si="14"/>
        <v>1249.95</v>
      </c>
      <c r="O138" s="2">
        <f t="shared" ca="1" si="10"/>
        <v>3</v>
      </c>
      <c r="P138" s="13">
        <f t="shared" ca="1" si="11"/>
        <v>46305</v>
      </c>
      <c r="Q138" s="16">
        <f t="shared" ca="1" si="12"/>
        <v>0</v>
      </c>
      <c r="R138" s="1">
        <f t="shared" si="13"/>
        <v>44895</v>
      </c>
    </row>
    <row r="139" spans="1:18" x14ac:dyDescent="0.25">
      <c r="A139" s="2" t="s">
        <v>278</v>
      </c>
      <c r="B139" s="1">
        <v>45600</v>
      </c>
      <c r="C139" s="2" t="s">
        <v>65</v>
      </c>
      <c r="D139" s="2" t="s">
        <v>66</v>
      </c>
      <c r="E139" s="2" t="s">
        <v>105</v>
      </c>
      <c r="F139" s="2" t="s">
        <v>106</v>
      </c>
      <c r="G139" s="2" t="s">
        <v>46</v>
      </c>
      <c r="H139" s="3">
        <v>3</v>
      </c>
      <c r="I139" s="4">
        <v>299.99</v>
      </c>
      <c r="J139" s="2" t="s">
        <v>26</v>
      </c>
      <c r="K139" s="2" t="s">
        <v>35</v>
      </c>
      <c r="L139" s="2" t="s">
        <v>36</v>
      </c>
      <c r="M139" s="1">
        <v>44502</v>
      </c>
      <c r="N139" s="4">
        <f t="shared" si="14"/>
        <v>899.97</v>
      </c>
      <c r="O139" s="2">
        <f t="shared" ca="1" si="10"/>
        <v>4</v>
      </c>
      <c r="P139" s="13">
        <f t="shared" ca="1" si="11"/>
        <v>46305</v>
      </c>
      <c r="Q139" s="16">
        <f t="shared" ca="1" si="12"/>
        <v>0</v>
      </c>
      <c r="R139" s="1">
        <f t="shared" si="13"/>
        <v>44530</v>
      </c>
    </row>
    <row r="140" spans="1:18" x14ac:dyDescent="0.25">
      <c r="A140" s="2" t="s">
        <v>279</v>
      </c>
      <c r="B140" s="1">
        <v>45603</v>
      </c>
      <c r="C140" s="2" t="s">
        <v>99</v>
      </c>
      <c r="D140" s="2" t="s">
        <v>100</v>
      </c>
      <c r="E140" s="2" t="s">
        <v>117</v>
      </c>
      <c r="F140" s="2" t="s">
        <v>118</v>
      </c>
      <c r="G140" s="2" t="s">
        <v>19</v>
      </c>
      <c r="H140" s="3">
        <v>3</v>
      </c>
      <c r="I140" s="4">
        <v>89.99</v>
      </c>
      <c r="J140" s="2" t="s">
        <v>26</v>
      </c>
      <c r="K140" s="2" t="s">
        <v>40</v>
      </c>
      <c r="L140" s="2" t="s">
        <v>27</v>
      </c>
      <c r="M140" s="1">
        <v>44420</v>
      </c>
      <c r="N140" s="4">
        <f t="shared" si="14"/>
        <v>269.96999999999997</v>
      </c>
      <c r="O140" s="2">
        <f t="shared" ca="1" si="10"/>
        <v>5</v>
      </c>
      <c r="P140" s="13">
        <f t="shared" ca="1" si="11"/>
        <v>46305</v>
      </c>
      <c r="Q140" s="16">
        <f t="shared" ca="1" si="12"/>
        <v>0</v>
      </c>
      <c r="R140" s="1">
        <f t="shared" si="13"/>
        <v>44439</v>
      </c>
    </row>
    <row r="141" spans="1:18" x14ac:dyDescent="0.25">
      <c r="A141" s="2" t="s">
        <v>280</v>
      </c>
      <c r="B141" s="1">
        <v>45604</v>
      </c>
      <c r="C141" s="2" t="s">
        <v>89</v>
      </c>
      <c r="D141" s="2" t="s">
        <v>90</v>
      </c>
      <c r="E141" s="2" t="s">
        <v>44</v>
      </c>
      <c r="F141" s="2" t="s">
        <v>45</v>
      </c>
      <c r="G141" s="2" t="s">
        <v>46</v>
      </c>
      <c r="H141" s="3">
        <v>2</v>
      </c>
      <c r="I141" s="4">
        <v>149.99</v>
      </c>
      <c r="J141" s="2" t="s">
        <v>26</v>
      </c>
      <c r="K141" s="2" t="s">
        <v>50</v>
      </c>
      <c r="L141" s="2" t="s">
        <v>27</v>
      </c>
      <c r="M141" s="1">
        <v>44848</v>
      </c>
      <c r="N141" s="4">
        <f t="shared" si="14"/>
        <v>299.98</v>
      </c>
      <c r="O141" s="2">
        <f t="shared" ca="1" si="10"/>
        <v>3</v>
      </c>
      <c r="P141" s="13">
        <f t="shared" ca="1" si="11"/>
        <v>46305</v>
      </c>
      <c r="Q141" s="16">
        <f t="shared" ca="1" si="12"/>
        <v>0</v>
      </c>
      <c r="R141" s="1">
        <f t="shared" si="13"/>
        <v>44865</v>
      </c>
    </row>
    <row r="142" spans="1:18" x14ac:dyDescent="0.25">
      <c r="A142" s="2" t="s">
        <v>281</v>
      </c>
      <c r="B142" s="1">
        <v>45605</v>
      </c>
      <c r="C142" s="2" t="s">
        <v>185</v>
      </c>
      <c r="D142" s="2" t="s">
        <v>186</v>
      </c>
      <c r="E142" s="2" t="s">
        <v>17</v>
      </c>
      <c r="F142" s="2" t="s">
        <v>18</v>
      </c>
      <c r="G142" s="2" t="s">
        <v>19</v>
      </c>
      <c r="H142" s="3">
        <v>1</v>
      </c>
      <c r="I142" s="4">
        <v>249.99</v>
      </c>
      <c r="J142" s="2" t="s">
        <v>26</v>
      </c>
      <c r="K142" s="2" t="s">
        <v>40</v>
      </c>
      <c r="L142" s="2" t="s">
        <v>27</v>
      </c>
      <c r="M142" s="1">
        <v>44828</v>
      </c>
      <c r="N142" s="4">
        <f t="shared" si="14"/>
        <v>249.99</v>
      </c>
      <c r="O142" s="2">
        <f t="shared" ca="1" si="10"/>
        <v>4</v>
      </c>
      <c r="P142" s="13">
        <f t="shared" ca="1" si="11"/>
        <v>46305</v>
      </c>
      <c r="Q142" s="16">
        <f t="shared" ca="1" si="12"/>
        <v>0</v>
      </c>
      <c r="R142" s="1">
        <f t="shared" si="13"/>
        <v>44834</v>
      </c>
    </row>
    <row r="143" spans="1:18" x14ac:dyDescent="0.25">
      <c r="A143" s="2" t="s">
        <v>282</v>
      </c>
      <c r="B143" s="1">
        <v>45607</v>
      </c>
      <c r="C143" s="2" t="s">
        <v>72</v>
      </c>
      <c r="D143" s="2" t="s">
        <v>73</v>
      </c>
      <c r="E143" s="2" t="s">
        <v>52</v>
      </c>
      <c r="F143" s="2" t="s">
        <v>53</v>
      </c>
      <c r="G143" s="2" t="s">
        <v>19</v>
      </c>
      <c r="H143" s="3">
        <v>3</v>
      </c>
      <c r="I143" s="4">
        <v>149.99</v>
      </c>
      <c r="J143" s="2" t="s">
        <v>20</v>
      </c>
      <c r="K143" s="2" t="s">
        <v>40</v>
      </c>
      <c r="L143" s="2" t="s">
        <v>22</v>
      </c>
      <c r="M143" s="1">
        <v>44769</v>
      </c>
      <c r="N143" s="4">
        <f t="shared" si="14"/>
        <v>449.97</v>
      </c>
      <c r="O143" s="2">
        <f t="shared" ca="1" si="10"/>
        <v>4</v>
      </c>
      <c r="P143" s="13">
        <f t="shared" ca="1" si="11"/>
        <v>46305</v>
      </c>
      <c r="Q143" s="16">
        <f t="shared" ca="1" si="12"/>
        <v>0</v>
      </c>
      <c r="R143" s="1">
        <f t="shared" si="13"/>
        <v>44773</v>
      </c>
    </row>
    <row r="144" spans="1:18" x14ac:dyDescent="0.25">
      <c r="A144" s="2" t="s">
        <v>283</v>
      </c>
      <c r="B144" s="1">
        <v>45607</v>
      </c>
      <c r="C144" s="2" t="s">
        <v>15</v>
      </c>
      <c r="D144" s="2" t="s">
        <v>16</v>
      </c>
      <c r="E144" s="2" t="s">
        <v>31</v>
      </c>
      <c r="F144" s="2" t="s">
        <v>32</v>
      </c>
      <c r="G144" s="2" t="s">
        <v>33</v>
      </c>
      <c r="H144" s="3">
        <v>5</v>
      </c>
      <c r="I144" s="4">
        <v>59.99</v>
      </c>
      <c r="J144" s="2" t="s">
        <v>34</v>
      </c>
      <c r="K144" s="2" t="s">
        <v>50</v>
      </c>
      <c r="L144" s="2" t="s">
        <v>27</v>
      </c>
      <c r="M144" s="1">
        <v>44694</v>
      </c>
      <c r="N144" s="4">
        <f t="shared" si="14"/>
        <v>299.95</v>
      </c>
      <c r="O144" s="2">
        <f t="shared" ca="1" si="10"/>
        <v>4</v>
      </c>
      <c r="P144" s="13">
        <f t="shared" ca="1" si="11"/>
        <v>46305</v>
      </c>
      <c r="Q144" s="16">
        <f t="shared" ca="1" si="12"/>
        <v>0</v>
      </c>
      <c r="R144" s="1">
        <f t="shared" si="13"/>
        <v>44712</v>
      </c>
    </row>
    <row r="145" spans="1:18" x14ac:dyDescent="0.25">
      <c r="A145" s="2" t="s">
        <v>284</v>
      </c>
      <c r="B145" s="1">
        <v>45607</v>
      </c>
      <c r="C145" s="2" t="s">
        <v>99</v>
      </c>
      <c r="D145" s="2" t="s">
        <v>100</v>
      </c>
      <c r="E145" s="2" t="s">
        <v>17</v>
      </c>
      <c r="F145" s="2" t="s">
        <v>18</v>
      </c>
      <c r="G145" s="2" t="s">
        <v>19</v>
      </c>
      <c r="H145" s="3">
        <v>4</v>
      </c>
      <c r="I145" s="4">
        <v>249.99</v>
      </c>
      <c r="J145" s="2" t="s">
        <v>26</v>
      </c>
      <c r="K145" s="2" t="s">
        <v>50</v>
      </c>
      <c r="L145" s="2" t="s">
        <v>36</v>
      </c>
      <c r="M145" s="1">
        <v>44659</v>
      </c>
      <c r="N145" s="4">
        <f t="shared" si="14"/>
        <v>999.96</v>
      </c>
      <c r="O145" s="2">
        <f t="shared" ca="1" si="10"/>
        <v>4</v>
      </c>
      <c r="P145" s="13">
        <f t="shared" ca="1" si="11"/>
        <v>46305</v>
      </c>
      <c r="Q145" s="16">
        <f t="shared" ca="1" si="12"/>
        <v>0</v>
      </c>
      <c r="R145" s="1">
        <f t="shared" si="13"/>
        <v>44681</v>
      </c>
    </row>
    <row r="146" spans="1:18" x14ac:dyDescent="0.25">
      <c r="A146" s="2" t="s">
        <v>285</v>
      </c>
      <c r="B146" s="1">
        <v>45608</v>
      </c>
      <c r="C146" s="2" t="s">
        <v>154</v>
      </c>
      <c r="D146" s="2" t="s">
        <v>155</v>
      </c>
      <c r="E146" s="2" t="s">
        <v>44</v>
      </c>
      <c r="F146" s="2" t="s">
        <v>45</v>
      </c>
      <c r="G146" s="2" t="s">
        <v>46</v>
      </c>
      <c r="H146" s="3">
        <v>5</v>
      </c>
      <c r="I146" s="4">
        <v>149.99</v>
      </c>
      <c r="J146" s="2" t="s">
        <v>34</v>
      </c>
      <c r="K146" s="2" t="s">
        <v>21</v>
      </c>
      <c r="L146" s="2" t="s">
        <v>22</v>
      </c>
      <c r="M146" s="1">
        <v>44901</v>
      </c>
      <c r="N146" s="4">
        <f t="shared" si="14"/>
        <v>749.95</v>
      </c>
      <c r="O146" s="2">
        <f t="shared" ca="1" si="10"/>
        <v>3</v>
      </c>
      <c r="P146" s="13">
        <f t="shared" ca="1" si="11"/>
        <v>46305</v>
      </c>
      <c r="Q146" s="16">
        <f t="shared" ca="1" si="12"/>
        <v>0</v>
      </c>
      <c r="R146" s="1">
        <f t="shared" si="13"/>
        <v>44926</v>
      </c>
    </row>
    <row r="147" spans="1:18" x14ac:dyDescent="0.25">
      <c r="A147" s="2" t="s">
        <v>286</v>
      </c>
      <c r="B147" s="1">
        <v>45608</v>
      </c>
      <c r="C147" s="2" t="s">
        <v>83</v>
      </c>
      <c r="D147" s="2" t="s">
        <v>84</v>
      </c>
      <c r="E147" s="2" t="s">
        <v>31</v>
      </c>
      <c r="F147" s="2" t="s">
        <v>32</v>
      </c>
      <c r="G147" s="2" t="s">
        <v>33</v>
      </c>
      <c r="H147" s="3">
        <v>3</v>
      </c>
      <c r="I147" s="4">
        <v>59.99</v>
      </c>
      <c r="J147" s="2" t="s">
        <v>57</v>
      </c>
      <c r="K147" s="2" t="s">
        <v>35</v>
      </c>
      <c r="L147" s="2" t="s">
        <v>36</v>
      </c>
      <c r="M147" s="1">
        <v>45260</v>
      </c>
      <c r="N147" s="4">
        <f t="shared" si="14"/>
        <v>179.97</v>
      </c>
      <c r="O147" s="2">
        <f t="shared" ca="1" si="10"/>
        <v>2</v>
      </c>
      <c r="P147" s="13">
        <f t="shared" ca="1" si="11"/>
        <v>46305</v>
      </c>
      <c r="Q147" s="16">
        <f t="shared" ca="1" si="12"/>
        <v>0</v>
      </c>
      <c r="R147" s="1">
        <f t="shared" si="13"/>
        <v>45260</v>
      </c>
    </row>
    <row r="148" spans="1:18" x14ac:dyDescent="0.25">
      <c r="A148" s="2" t="s">
        <v>287</v>
      </c>
      <c r="B148" s="1">
        <v>45613</v>
      </c>
      <c r="C148" s="2" t="s">
        <v>234</v>
      </c>
      <c r="D148" s="2" t="s">
        <v>235</v>
      </c>
      <c r="E148" s="2" t="s">
        <v>44</v>
      </c>
      <c r="F148" s="2" t="s">
        <v>45</v>
      </c>
      <c r="G148" s="2" t="s">
        <v>46</v>
      </c>
      <c r="H148" s="3">
        <v>5</v>
      </c>
      <c r="I148" s="4">
        <v>149.99</v>
      </c>
      <c r="J148" s="2" t="s">
        <v>20</v>
      </c>
      <c r="K148" s="2" t="s">
        <v>40</v>
      </c>
      <c r="L148" s="2" t="s">
        <v>22</v>
      </c>
      <c r="M148" s="1">
        <v>44869</v>
      </c>
      <c r="N148" s="4">
        <f t="shared" si="14"/>
        <v>749.95</v>
      </c>
      <c r="O148" s="2">
        <f t="shared" ca="1" si="10"/>
        <v>3</v>
      </c>
      <c r="P148" s="13">
        <f t="shared" ca="1" si="11"/>
        <v>46305</v>
      </c>
      <c r="Q148" s="16">
        <f t="shared" ca="1" si="12"/>
        <v>0</v>
      </c>
      <c r="R148" s="1">
        <f t="shared" si="13"/>
        <v>44895</v>
      </c>
    </row>
    <row r="149" spans="1:18" x14ac:dyDescent="0.25">
      <c r="A149" s="2" t="s">
        <v>288</v>
      </c>
      <c r="B149" s="1">
        <v>45613</v>
      </c>
      <c r="C149" s="2" t="s">
        <v>86</v>
      </c>
      <c r="D149" s="2" t="s">
        <v>87</v>
      </c>
      <c r="E149" s="2" t="s">
        <v>80</v>
      </c>
      <c r="F149" s="2" t="s">
        <v>81</v>
      </c>
      <c r="G149" s="2" t="s">
        <v>19</v>
      </c>
      <c r="H149" s="3">
        <v>2</v>
      </c>
      <c r="I149" s="4">
        <v>699.99</v>
      </c>
      <c r="J149" s="2" t="s">
        <v>34</v>
      </c>
      <c r="K149" s="2" t="s">
        <v>50</v>
      </c>
      <c r="L149" s="2" t="s">
        <v>36</v>
      </c>
      <c r="M149" s="1">
        <v>44770</v>
      </c>
      <c r="N149" s="4">
        <f t="shared" si="14"/>
        <v>1399.98</v>
      </c>
      <c r="O149" s="2">
        <f t="shared" ca="1" si="10"/>
        <v>4</v>
      </c>
      <c r="P149" s="13">
        <f t="shared" ca="1" si="11"/>
        <v>46305</v>
      </c>
      <c r="Q149" s="16">
        <f t="shared" ca="1" si="12"/>
        <v>0</v>
      </c>
      <c r="R149" s="1">
        <f t="shared" si="13"/>
        <v>44773</v>
      </c>
    </row>
    <row r="150" spans="1:18" x14ac:dyDescent="0.25">
      <c r="A150" s="2" t="s">
        <v>289</v>
      </c>
      <c r="B150" s="1">
        <v>45617</v>
      </c>
      <c r="C150" s="2" t="s">
        <v>123</v>
      </c>
      <c r="D150" s="2" t="s">
        <v>124</v>
      </c>
      <c r="E150" s="2" t="s">
        <v>126</v>
      </c>
      <c r="F150" s="2" t="s">
        <v>127</v>
      </c>
      <c r="G150" s="2" t="s">
        <v>46</v>
      </c>
      <c r="H150" s="3">
        <v>4</v>
      </c>
      <c r="I150" s="4">
        <v>199.99</v>
      </c>
      <c r="J150" s="2" t="s">
        <v>57</v>
      </c>
      <c r="K150" s="2" t="s">
        <v>21</v>
      </c>
      <c r="L150" s="2" t="s">
        <v>27</v>
      </c>
      <c r="M150" s="1">
        <v>44427</v>
      </c>
      <c r="N150" s="4">
        <f t="shared" si="14"/>
        <v>799.96</v>
      </c>
      <c r="O150" s="2">
        <f t="shared" ca="1" si="10"/>
        <v>5</v>
      </c>
      <c r="P150" s="13">
        <f t="shared" ca="1" si="11"/>
        <v>46305</v>
      </c>
      <c r="Q150" s="16">
        <f t="shared" ca="1" si="12"/>
        <v>0</v>
      </c>
      <c r="R150" s="1">
        <f t="shared" si="13"/>
        <v>44439</v>
      </c>
    </row>
    <row r="151" spans="1:18" x14ac:dyDescent="0.25">
      <c r="A151" s="2" t="s">
        <v>290</v>
      </c>
      <c r="B151" s="1">
        <v>45619</v>
      </c>
      <c r="C151" s="2" t="s">
        <v>192</v>
      </c>
      <c r="D151" s="2" t="s">
        <v>193</v>
      </c>
      <c r="E151" s="2" t="s">
        <v>31</v>
      </c>
      <c r="F151" s="2" t="s">
        <v>32</v>
      </c>
      <c r="G151" s="2" t="s">
        <v>33</v>
      </c>
      <c r="H151" s="3">
        <v>1</v>
      </c>
      <c r="I151" s="4">
        <v>59.99</v>
      </c>
      <c r="J151" s="2" t="s">
        <v>57</v>
      </c>
      <c r="K151" s="2" t="s">
        <v>50</v>
      </c>
      <c r="L151" s="2" t="s">
        <v>36</v>
      </c>
      <c r="M151" s="1">
        <v>44560</v>
      </c>
      <c r="N151" s="4">
        <f t="shared" si="14"/>
        <v>59.99</v>
      </c>
      <c r="O151" s="2">
        <f t="shared" ca="1" si="10"/>
        <v>4</v>
      </c>
      <c r="P151" s="13">
        <f t="shared" ca="1" si="11"/>
        <v>46305</v>
      </c>
      <c r="Q151" s="16">
        <f t="shared" ca="1" si="12"/>
        <v>0</v>
      </c>
      <c r="R151" s="1">
        <f t="shared" si="13"/>
        <v>44561</v>
      </c>
    </row>
    <row r="152" spans="1:18" x14ac:dyDescent="0.25">
      <c r="A152" s="2" t="s">
        <v>291</v>
      </c>
      <c r="B152" s="1">
        <v>45619</v>
      </c>
      <c r="C152" s="2" t="s">
        <v>154</v>
      </c>
      <c r="D152" s="2" t="s">
        <v>155</v>
      </c>
      <c r="E152" s="2" t="s">
        <v>80</v>
      </c>
      <c r="F152" s="2" t="s">
        <v>81</v>
      </c>
      <c r="G152" s="2" t="s">
        <v>19</v>
      </c>
      <c r="H152" s="3">
        <v>3</v>
      </c>
      <c r="I152" s="4">
        <v>699.99</v>
      </c>
      <c r="J152" s="2" t="s">
        <v>34</v>
      </c>
      <c r="K152" s="2" t="s">
        <v>50</v>
      </c>
      <c r="L152" s="2" t="s">
        <v>36</v>
      </c>
      <c r="M152" s="1">
        <v>44583</v>
      </c>
      <c r="N152" s="4">
        <f t="shared" si="14"/>
        <v>2099.9700000000003</v>
      </c>
      <c r="O152" s="2">
        <f t="shared" ca="1" si="10"/>
        <v>4</v>
      </c>
      <c r="P152" s="13">
        <f t="shared" ca="1" si="11"/>
        <v>46305</v>
      </c>
      <c r="Q152" s="16">
        <f t="shared" ca="1" si="12"/>
        <v>0</v>
      </c>
      <c r="R152" s="1">
        <f t="shared" si="13"/>
        <v>44592</v>
      </c>
    </row>
    <row r="153" spans="1:18" x14ac:dyDescent="0.25">
      <c r="A153" s="2" t="s">
        <v>292</v>
      </c>
      <c r="B153" s="1">
        <v>45622</v>
      </c>
      <c r="C153" s="2" t="s">
        <v>293</v>
      </c>
      <c r="D153" s="2" t="s">
        <v>294</v>
      </c>
      <c r="E153" s="2" t="s">
        <v>17</v>
      </c>
      <c r="F153" s="2" t="s">
        <v>18</v>
      </c>
      <c r="G153" s="2" t="s">
        <v>19</v>
      </c>
      <c r="H153" s="3">
        <v>5</v>
      </c>
      <c r="I153" s="4">
        <v>249.99</v>
      </c>
      <c r="J153" s="2" t="s">
        <v>26</v>
      </c>
      <c r="K153" s="2" t="s">
        <v>40</v>
      </c>
      <c r="L153" s="2" t="s">
        <v>22</v>
      </c>
      <c r="M153" s="1">
        <v>44873</v>
      </c>
      <c r="N153" s="4">
        <f t="shared" si="14"/>
        <v>1249.95</v>
      </c>
      <c r="O153" s="2">
        <f t="shared" ca="1" si="10"/>
        <v>3</v>
      </c>
      <c r="P153" s="13">
        <f t="shared" ca="1" si="11"/>
        <v>46305</v>
      </c>
      <c r="Q153" s="16">
        <f t="shared" ca="1" si="12"/>
        <v>0</v>
      </c>
      <c r="R153" s="1">
        <f t="shared" si="13"/>
        <v>44895</v>
      </c>
    </row>
    <row r="154" spans="1:18" x14ac:dyDescent="0.25">
      <c r="A154" s="2" t="s">
        <v>295</v>
      </c>
      <c r="B154" s="1">
        <v>45623</v>
      </c>
      <c r="C154" s="2" t="s">
        <v>112</v>
      </c>
      <c r="D154" s="2" t="s">
        <v>113</v>
      </c>
      <c r="E154" s="2" t="s">
        <v>44</v>
      </c>
      <c r="F154" s="2" t="s">
        <v>45</v>
      </c>
      <c r="G154" s="2" t="s">
        <v>46</v>
      </c>
      <c r="H154" s="3">
        <v>2</v>
      </c>
      <c r="I154" s="4">
        <v>149.99</v>
      </c>
      <c r="J154" s="2" t="s">
        <v>20</v>
      </c>
      <c r="K154" s="2" t="s">
        <v>35</v>
      </c>
      <c r="L154" s="2" t="s">
        <v>36</v>
      </c>
      <c r="M154" s="1">
        <v>45101</v>
      </c>
      <c r="N154" s="4">
        <f t="shared" si="14"/>
        <v>299.98</v>
      </c>
      <c r="O154" s="2">
        <f t="shared" ca="1" si="10"/>
        <v>3</v>
      </c>
      <c r="P154" s="13">
        <f t="shared" ca="1" si="11"/>
        <v>46305</v>
      </c>
      <c r="Q154" s="16">
        <f t="shared" ca="1" si="12"/>
        <v>0</v>
      </c>
      <c r="R154" s="1">
        <f t="shared" si="13"/>
        <v>45107</v>
      </c>
    </row>
    <row r="155" spans="1:18" x14ac:dyDescent="0.25">
      <c r="A155" s="2" t="s">
        <v>296</v>
      </c>
      <c r="B155" s="1">
        <v>45627</v>
      </c>
      <c r="C155" s="2" t="s">
        <v>29</v>
      </c>
      <c r="D155" s="2" t="s">
        <v>30</v>
      </c>
      <c r="E155" s="2" t="s">
        <v>105</v>
      </c>
      <c r="F155" s="2" t="s">
        <v>106</v>
      </c>
      <c r="G155" s="2" t="s">
        <v>46</v>
      </c>
      <c r="H155" s="3">
        <v>3</v>
      </c>
      <c r="I155" s="4">
        <v>299.99</v>
      </c>
      <c r="J155" s="2" t="s">
        <v>20</v>
      </c>
      <c r="K155" s="2" t="s">
        <v>35</v>
      </c>
      <c r="L155" s="2" t="s">
        <v>27</v>
      </c>
      <c r="M155" s="1">
        <v>44659</v>
      </c>
      <c r="N155" s="4">
        <f t="shared" si="14"/>
        <v>899.97</v>
      </c>
      <c r="O155" s="2">
        <f t="shared" ca="1" si="10"/>
        <v>4</v>
      </c>
      <c r="P155" s="13">
        <f t="shared" ca="1" si="11"/>
        <v>46305</v>
      </c>
      <c r="Q155" s="16">
        <f t="shared" ca="1" si="12"/>
        <v>0</v>
      </c>
      <c r="R155" s="1">
        <f t="shared" si="13"/>
        <v>44681</v>
      </c>
    </row>
    <row r="156" spans="1:18" x14ac:dyDescent="0.25">
      <c r="A156" s="2" t="s">
        <v>297</v>
      </c>
      <c r="B156" s="1">
        <v>45627</v>
      </c>
      <c r="C156" s="2" t="s">
        <v>55</v>
      </c>
      <c r="D156" s="2" t="s">
        <v>56</v>
      </c>
      <c r="E156" s="2" t="s">
        <v>17</v>
      </c>
      <c r="F156" s="2" t="s">
        <v>18</v>
      </c>
      <c r="G156" s="2" t="s">
        <v>19</v>
      </c>
      <c r="H156" s="3">
        <v>5</v>
      </c>
      <c r="I156" s="4">
        <v>249.99</v>
      </c>
      <c r="J156" s="2" t="s">
        <v>20</v>
      </c>
      <c r="K156" s="2" t="s">
        <v>21</v>
      </c>
      <c r="L156" s="2" t="s">
        <v>27</v>
      </c>
      <c r="M156" s="1">
        <v>44485</v>
      </c>
      <c r="N156" s="4">
        <f t="shared" si="14"/>
        <v>1249.95</v>
      </c>
      <c r="O156" s="2">
        <f t="shared" ca="1" si="10"/>
        <v>4</v>
      </c>
      <c r="P156" s="13">
        <f t="shared" ca="1" si="11"/>
        <v>46305</v>
      </c>
      <c r="Q156" s="16">
        <f t="shared" ca="1" si="12"/>
        <v>0</v>
      </c>
      <c r="R156" s="1">
        <f t="shared" si="13"/>
        <v>44500</v>
      </c>
    </row>
    <row r="157" spans="1:18" x14ac:dyDescent="0.25">
      <c r="A157" s="2" t="s">
        <v>298</v>
      </c>
      <c r="B157" s="1">
        <v>45627</v>
      </c>
      <c r="C157" s="2" t="s">
        <v>24</v>
      </c>
      <c r="D157" s="2" t="s">
        <v>25</v>
      </c>
      <c r="E157" s="2" t="s">
        <v>52</v>
      </c>
      <c r="F157" s="2" t="s">
        <v>53</v>
      </c>
      <c r="G157" s="2" t="s">
        <v>19</v>
      </c>
      <c r="H157" s="3">
        <v>2</v>
      </c>
      <c r="I157" s="4">
        <v>149.99</v>
      </c>
      <c r="J157" s="2" t="s">
        <v>20</v>
      </c>
      <c r="K157" s="2" t="s">
        <v>35</v>
      </c>
      <c r="L157" s="2" t="s">
        <v>27</v>
      </c>
      <c r="M157" s="1">
        <v>44475</v>
      </c>
      <c r="N157" s="4">
        <f t="shared" si="14"/>
        <v>299.98</v>
      </c>
      <c r="O157" s="2">
        <f t="shared" ca="1" si="10"/>
        <v>5</v>
      </c>
      <c r="P157" s="13">
        <f t="shared" ca="1" si="11"/>
        <v>46305</v>
      </c>
      <c r="Q157" s="16">
        <f t="shared" ca="1" si="12"/>
        <v>0</v>
      </c>
      <c r="R157" s="1">
        <f t="shared" si="13"/>
        <v>44500</v>
      </c>
    </row>
    <row r="158" spans="1:18" x14ac:dyDescent="0.25">
      <c r="A158" s="2" t="s">
        <v>299</v>
      </c>
      <c r="B158" s="1">
        <v>45627</v>
      </c>
      <c r="C158" s="2" t="s">
        <v>86</v>
      </c>
      <c r="D158" s="2" t="s">
        <v>87</v>
      </c>
      <c r="E158" s="2" t="s">
        <v>80</v>
      </c>
      <c r="F158" s="2" t="s">
        <v>81</v>
      </c>
      <c r="G158" s="2" t="s">
        <v>19</v>
      </c>
      <c r="H158" s="3">
        <v>5</v>
      </c>
      <c r="I158" s="4">
        <v>699.99</v>
      </c>
      <c r="J158" s="2" t="s">
        <v>57</v>
      </c>
      <c r="K158" s="2" t="s">
        <v>50</v>
      </c>
      <c r="L158" s="2" t="s">
        <v>36</v>
      </c>
      <c r="M158" s="1">
        <v>44944</v>
      </c>
      <c r="N158" s="4">
        <f t="shared" si="14"/>
        <v>3499.95</v>
      </c>
      <c r="O158" s="2">
        <f t="shared" ca="1" si="10"/>
        <v>3</v>
      </c>
      <c r="P158" s="13">
        <f t="shared" ca="1" si="11"/>
        <v>46305</v>
      </c>
      <c r="Q158" s="16">
        <f t="shared" ca="1" si="12"/>
        <v>0</v>
      </c>
      <c r="R158" s="1">
        <f t="shared" si="13"/>
        <v>44957</v>
      </c>
    </row>
    <row r="159" spans="1:18" x14ac:dyDescent="0.25">
      <c r="A159" s="2" t="s">
        <v>300</v>
      </c>
      <c r="B159" s="1">
        <v>45629</v>
      </c>
      <c r="C159" s="2" t="s">
        <v>252</v>
      </c>
      <c r="D159" s="2" t="s">
        <v>253</v>
      </c>
      <c r="E159" s="2" t="s">
        <v>17</v>
      </c>
      <c r="F159" s="2" t="s">
        <v>18</v>
      </c>
      <c r="G159" s="2" t="s">
        <v>19</v>
      </c>
      <c r="H159" s="3">
        <v>4</v>
      </c>
      <c r="I159" s="4">
        <v>249.99</v>
      </c>
      <c r="J159" s="2" t="s">
        <v>34</v>
      </c>
      <c r="K159" s="2" t="s">
        <v>63</v>
      </c>
      <c r="L159" s="2" t="s">
        <v>27</v>
      </c>
      <c r="M159" s="1">
        <v>45098</v>
      </c>
      <c r="N159" s="4">
        <f t="shared" si="14"/>
        <v>999.96</v>
      </c>
      <c r="O159" s="2">
        <f t="shared" ca="1" si="10"/>
        <v>3</v>
      </c>
      <c r="P159" s="13">
        <f t="shared" ca="1" si="11"/>
        <v>46305</v>
      </c>
      <c r="Q159" s="16">
        <f t="shared" ca="1" si="12"/>
        <v>0</v>
      </c>
      <c r="R159" s="1">
        <f t="shared" si="13"/>
        <v>45107</v>
      </c>
    </row>
    <row r="160" spans="1:18" x14ac:dyDescent="0.25">
      <c r="A160" s="2" t="s">
        <v>301</v>
      </c>
      <c r="B160" s="1">
        <v>45630</v>
      </c>
      <c r="C160" s="2" t="s">
        <v>48</v>
      </c>
      <c r="D160" s="2" t="s">
        <v>49</v>
      </c>
      <c r="E160" s="2" t="s">
        <v>80</v>
      </c>
      <c r="F160" s="2" t="s">
        <v>81</v>
      </c>
      <c r="G160" s="2" t="s">
        <v>19</v>
      </c>
      <c r="H160" s="3">
        <v>4</v>
      </c>
      <c r="I160" s="4">
        <v>699.99</v>
      </c>
      <c r="J160" s="2" t="s">
        <v>26</v>
      </c>
      <c r="K160" s="2" t="s">
        <v>40</v>
      </c>
      <c r="L160" s="2" t="s">
        <v>27</v>
      </c>
      <c r="M160" s="1">
        <v>44703</v>
      </c>
      <c r="N160" s="4">
        <f t="shared" si="14"/>
        <v>2799.96</v>
      </c>
      <c r="O160" s="2">
        <f t="shared" ca="1" si="10"/>
        <v>4</v>
      </c>
      <c r="P160" s="13">
        <f t="shared" ca="1" si="11"/>
        <v>46305</v>
      </c>
      <c r="Q160" s="16">
        <f t="shared" ca="1" si="12"/>
        <v>0</v>
      </c>
      <c r="R160" s="1">
        <f t="shared" si="13"/>
        <v>44712</v>
      </c>
    </row>
    <row r="161" spans="1:18" x14ac:dyDescent="0.25">
      <c r="A161" s="2" t="s">
        <v>302</v>
      </c>
      <c r="B161" s="1">
        <v>45635</v>
      </c>
      <c r="C161" s="2" t="s">
        <v>108</v>
      </c>
      <c r="D161" s="2" t="s">
        <v>109</v>
      </c>
      <c r="E161" s="2" t="s">
        <v>17</v>
      </c>
      <c r="F161" s="2" t="s">
        <v>18</v>
      </c>
      <c r="G161" s="2" t="s">
        <v>19</v>
      </c>
      <c r="H161" s="3">
        <v>2</v>
      </c>
      <c r="I161" s="4">
        <v>249.99</v>
      </c>
      <c r="J161" s="2" t="s">
        <v>26</v>
      </c>
      <c r="K161" s="2" t="s">
        <v>21</v>
      </c>
      <c r="L161" s="2" t="s">
        <v>27</v>
      </c>
      <c r="M161" s="1">
        <v>44396</v>
      </c>
      <c r="N161" s="4">
        <f t="shared" si="14"/>
        <v>499.98</v>
      </c>
      <c r="O161" s="2">
        <f t="shared" ca="1" si="10"/>
        <v>5</v>
      </c>
      <c r="P161" s="13">
        <f t="shared" ca="1" si="11"/>
        <v>46305</v>
      </c>
      <c r="Q161" s="16">
        <f t="shared" ca="1" si="12"/>
        <v>0</v>
      </c>
      <c r="R161" s="1">
        <f t="shared" si="13"/>
        <v>44408</v>
      </c>
    </row>
    <row r="162" spans="1:18" x14ac:dyDescent="0.25">
      <c r="A162" s="2" t="s">
        <v>303</v>
      </c>
      <c r="B162" s="1">
        <v>45635</v>
      </c>
      <c r="C162" s="2" t="s">
        <v>304</v>
      </c>
      <c r="D162" s="2" t="s">
        <v>305</v>
      </c>
      <c r="E162" s="2" t="s">
        <v>31</v>
      </c>
      <c r="F162" s="2" t="s">
        <v>32</v>
      </c>
      <c r="G162" s="2" t="s">
        <v>33</v>
      </c>
      <c r="H162" s="3">
        <v>3</v>
      </c>
      <c r="I162" s="4">
        <v>59.99</v>
      </c>
      <c r="J162" s="2" t="s">
        <v>20</v>
      </c>
      <c r="K162" s="2" t="s">
        <v>21</v>
      </c>
      <c r="L162" s="2" t="s">
        <v>27</v>
      </c>
      <c r="M162" s="1">
        <v>45052</v>
      </c>
      <c r="N162" s="4">
        <f t="shared" si="14"/>
        <v>179.97</v>
      </c>
      <c r="O162" s="2">
        <f t="shared" ca="1" si="10"/>
        <v>3</v>
      </c>
      <c r="P162" s="13">
        <f t="shared" ca="1" si="11"/>
        <v>46305</v>
      </c>
      <c r="Q162" s="16">
        <f t="shared" ca="1" si="12"/>
        <v>0</v>
      </c>
      <c r="R162" s="1">
        <f t="shared" si="13"/>
        <v>45077</v>
      </c>
    </row>
    <row r="163" spans="1:18" x14ac:dyDescent="0.25">
      <c r="A163" s="2" t="s">
        <v>306</v>
      </c>
      <c r="B163" s="1">
        <v>45635</v>
      </c>
      <c r="C163" s="2" t="s">
        <v>141</v>
      </c>
      <c r="D163" s="2" t="s">
        <v>142</v>
      </c>
      <c r="E163" s="2" t="s">
        <v>114</v>
      </c>
      <c r="F163" s="2" t="s">
        <v>115</v>
      </c>
      <c r="G163" s="2" t="s">
        <v>33</v>
      </c>
      <c r="H163" s="3">
        <v>4</v>
      </c>
      <c r="I163" s="4">
        <v>79.989999999999995</v>
      </c>
      <c r="J163" s="2" t="s">
        <v>57</v>
      </c>
      <c r="K163" s="2" t="s">
        <v>63</v>
      </c>
      <c r="L163" s="2" t="s">
        <v>36</v>
      </c>
      <c r="M163" s="1">
        <v>44921</v>
      </c>
      <c r="N163" s="4">
        <f t="shared" si="14"/>
        <v>319.95999999999998</v>
      </c>
      <c r="O163" s="2">
        <f t="shared" ca="1" si="10"/>
        <v>3</v>
      </c>
      <c r="P163" s="13">
        <f t="shared" ca="1" si="11"/>
        <v>46305</v>
      </c>
      <c r="Q163" s="16">
        <f t="shared" ca="1" si="12"/>
        <v>0</v>
      </c>
      <c r="R163" s="1">
        <f t="shared" si="13"/>
        <v>44926</v>
      </c>
    </row>
    <row r="164" spans="1:18" x14ac:dyDescent="0.25">
      <c r="A164" s="2" t="s">
        <v>307</v>
      </c>
      <c r="B164" s="1">
        <v>45636</v>
      </c>
      <c r="C164" s="2" t="s">
        <v>120</v>
      </c>
      <c r="D164" s="2" t="s">
        <v>121</v>
      </c>
      <c r="E164" s="2" t="s">
        <v>114</v>
      </c>
      <c r="F164" s="2" t="s">
        <v>115</v>
      </c>
      <c r="G164" s="2" t="s">
        <v>33</v>
      </c>
      <c r="H164" s="3">
        <v>3</v>
      </c>
      <c r="I164" s="4">
        <v>79.989999999999995</v>
      </c>
      <c r="J164" s="2" t="s">
        <v>57</v>
      </c>
      <c r="K164" s="2" t="s">
        <v>63</v>
      </c>
      <c r="L164" s="2" t="s">
        <v>36</v>
      </c>
      <c r="M164" s="1">
        <v>44779</v>
      </c>
      <c r="N164" s="4">
        <f t="shared" si="14"/>
        <v>239.96999999999997</v>
      </c>
      <c r="O164" s="2">
        <f t="shared" ca="1" si="10"/>
        <v>4</v>
      </c>
      <c r="P164" s="13">
        <f t="shared" ca="1" si="11"/>
        <v>46305</v>
      </c>
      <c r="Q164" s="16">
        <f t="shared" ca="1" si="12"/>
        <v>0</v>
      </c>
      <c r="R164" s="1">
        <f t="shared" si="13"/>
        <v>44804</v>
      </c>
    </row>
    <row r="165" spans="1:18" x14ac:dyDescent="0.25">
      <c r="A165" s="2" t="s">
        <v>308</v>
      </c>
      <c r="B165" s="1">
        <v>45638</v>
      </c>
      <c r="C165" s="2" t="s">
        <v>72</v>
      </c>
      <c r="D165" s="2" t="s">
        <v>73</v>
      </c>
      <c r="E165" s="2" t="s">
        <v>61</v>
      </c>
      <c r="F165" s="2" t="s">
        <v>62</v>
      </c>
      <c r="G165" s="2" t="s">
        <v>19</v>
      </c>
      <c r="H165" s="3">
        <v>2</v>
      </c>
      <c r="I165" s="4">
        <v>899.99</v>
      </c>
      <c r="J165" s="2" t="s">
        <v>20</v>
      </c>
      <c r="K165" s="2" t="s">
        <v>40</v>
      </c>
      <c r="L165" s="2" t="s">
        <v>22</v>
      </c>
      <c r="M165" s="1">
        <v>44406</v>
      </c>
      <c r="N165" s="4">
        <f t="shared" si="14"/>
        <v>1799.98</v>
      </c>
      <c r="O165" s="2">
        <f t="shared" ca="1" si="10"/>
        <v>5</v>
      </c>
      <c r="P165" s="13">
        <f t="shared" ca="1" si="11"/>
        <v>46305</v>
      </c>
      <c r="Q165" s="16">
        <f t="shared" ca="1" si="12"/>
        <v>0</v>
      </c>
      <c r="R165" s="1">
        <f t="shared" si="13"/>
        <v>44408</v>
      </c>
    </row>
    <row r="166" spans="1:18" x14ac:dyDescent="0.25">
      <c r="A166" s="2" t="s">
        <v>309</v>
      </c>
      <c r="B166" s="1">
        <v>45641</v>
      </c>
      <c r="C166" s="2" t="s">
        <v>182</v>
      </c>
      <c r="D166" s="2" t="s">
        <v>183</v>
      </c>
      <c r="E166" s="2" t="s">
        <v>44</v>
      </c>
      <c r="F166" s="2" t="s">
        <v>45</v>
      </c>
      <c r="G166" s="2" t="s">
        <v>46</v>
      </c>
      <c r="H166" s="3">
        <v>1</v>
      </c>
      <c r="I166" s="4">
        <v>149.99</v>
      </c>
      <c r="J166" s="2" t="s">
        <v>57</v>
      </c>
      <c r="K166" s="2" t="s">
        <v>63</v>
      </c>
      <c r="L166" s="2" t="s">
        <v>36</v>
      </c>
      <c r="M166" s="1">
        <v>45200</v>
      </c>
      <c r="N166" s="4">
        <f t="shared" si="14"/>
        <v>149.99</v>
      </c>
      <c r="O166" s="2">
        <f t="shared" ca="1" si="10"/>
        <v>3</v>
      </c>
      <c r="P166" s="13">
        <f t="shared" ca="1" si="11"/>
        <v>46305</v>
      </c>
      <c r="Q166" s="16">
        <f t="shared" ca="1" si="12"/>
        <v>0</v>
      </c>
      <c r="R166" s="1">
        <f t="shared" si="13"/>
        <v>45230</v>
      </c>
    </row>
    <row r="167" spans="1:18" x14ac:dyDescent="0.25">
      <c r="A167" s="2" t="s">
        <v>310</v>
      </c>
      <c r="B167" s="1">
        <v>45641</v>
      </c>
      <c r="C167" s="2" t="s">
        <v>138</v>
      </c>
      <c r="D167" s="2" t="s">
        <v>139</v>
      </c>
      <c r="E167" s="2" t="s">
        <v>105</v>
      </c>
      <c r="F167" s="2" t="s">
        <v>106</v>
      </c>
      <c r="G167" s="2" t="s">
        <v>46</v>
      </c>
      <c r="H167" s="3">
        <v>2</v>
      </c>
      <c r="I167" s="4">
        <v>299.99</v>
      </c>
      <c r="J167" s="2" t="s">
        <v>20</v>
      </c>
      <c r="K167" s="2" t="s">
        <v>63</v>
      </c>
      <c r="L167" s="2" t="s">
        <v>27</v>
      </c>
      <c r="M167" s="1">
        <v>44724</v>
      </c>
      <c r="N167" s="4">
        <f t="shared" si="14"/>
        <v>599.98</v>
      </c>
      <c r="O167" s="2">
        <f t="shared" ca="1" si="10"/>
        <v>4</v>
      </c>
      <c r="P167" s="13">
        <f t="shared" ca="1" si="11"/>
        <v>46305</v>
      </c>
      <c r="Q167" s="16">
        <f t="shared" ca="1" si="12"/>
        <v>0</v>
      </c>
      <c r="R167" s="1">
        <f t="shared" si="13"/>
        <v>44742</v>
      </c>
    </row>
    <row r="168" spans="1:18" x14ac:dyDescent="0.25">
      <c r="A168" s="2" t="s">
        <v>311</v>
      </c>
      <c r="B168" s="1">
        <v>45644</v>
      </c>
      <c r="C168" s="2" t="s">
        <v>132</v>
      </c>
      <c r="D168" s="2" t="s">
        <v>133</v>
      </c>
      <c r="E168" s="2" t="s">
        <v>31</v>
      </c>
      <c r="F168" s="2" t="s">
        <v>32</v>
      </c>
      <c r="G168" s="2" t="s">
        <v>33</v>
      </c>
      <c r="H168" s="3">
        <v>2</v>
      </c>
      <c r="I168" s="4">
        <v>59.99</v>
      </c>
      <c r="J168" s="2" t="s">
        <v>20</v>
      </c>
      <c r="K168" s="2" t="s">
        <v>50</v>
      </c>
      <c r="L168" s="2" t="s">
        <v>22</v>
      </c>
      <c r="M168" s="1">
        <v>45191</v>
      </c>
      <c r="N168" s="4">
        <f t="shared" si="14"/>
        <v>119.98</v>
      </c>
      <c r="O168" s="2">
        <f t="shared" ca="1" si="10"/>
        <v>3</v>
      </c>
      <c r="P168" s="13">
        <f t="shared" ca="1" si="11"/>
        <v>46305</v>
      </c>
      <c r="Q168" s="16">
        <f t="shared" ca="1" si="12"/>
        <v>0</v>
      </c>
      <c r="R168" s="1">
        <f t="shared" si="13"/>
        <v>45199</v>
      </c>
    </row>
    <row r="169" spans="1:18" x14ac:dyDescent="0.25">
      <c r="A169" s="2" t="s">
        <v>312</v>
      </c>
      <c r="B169" s="1">
        <v>45645</v>
      </c>
      <c r="C169" s="2" t="s">
        <v>182</v>
      </c>
      <c r="D169" s="2" t="s">
        <v>183</v>
      </c>
      <c r="E169" s="2" t="s">
        <v>117</v>
      </c>
      <c r="F169" s="2" t="s">
        <v>118</v>
      </c>
      <c r="G169" s="2" t="s">
        <v>19</v>
      </c>
      <c r="H169" s="3">
        <v>1</v>
      </c>
      <c r="I169" s="4">
        <v>89.99</v>
      </c>
      <c r="J169" s="2" t="s">
        <v>57</v>
      </c>
      <c r="K169" s="2" t="s">
        <v>21</v>
      </c>
      <c r="L169" s="2" t="s">
        <v>36</v>
      </c>
      <c r="M169" s="1">
        <v>44760</v>
      </c>
      <c r="N169" s="4">
        <f t="shared" si="14"/>
        <v>89.99</v>
      </c>
      <c r="O169" s="2">
        <f t="shared" ca="1" si="10"/>
        <v>4</v>
      </c>
      <c r="P169" s="13">
        <f t="shared" ca="1" si="11"/>
        <v>46305</v>
      </c>
      <c r="Q169" s="16">
        <f t="shared" ca="1" si="12"/>
        <v>0</v>
      </c>
      <c r="R169" s="1">
        <f t="shared" si="13"/>
        <v>44773</v>
      </c>
    </row>
    <row r="170" spans="1:18" x14ac:dyDescent="0.25">
      <c r="A170" s="2" t="s">
        <v>313</v>
      </c>
      <c r="B170" s="1">
        <v>45645</v>
      </c>
      <c r="C170" s="2" t="s">
        <v>147</v>
      </c>
      <c r="D170" s="2" t="s">
        <v>148</v>
      </c>
      <c r="E170" s="2" t="s">
        <v>61</v>
      </c>
      <c r="F170" s="2" t="s">
        <v>62</v>
      </c>
      <c r="G170" s="2" t="s">
        <v>19</v>
      </c>
      <c r="H170" s="3">
        <v>5</v>
      </c>
      <c r="I170" s="4">
        <v>899.99</v>
      </c>
      <c r="J170" s="2" t="s">
        <v>57</v>
      </c>
      <c r="K170" s="2" t="s">
        <v>63</v>
      </c>
      <c r="L170" s="2" t="s">
        <v>36</v>
      </c>
      <c r="M170" s="1">
        <v>44625</v>
      </c>
      <c r="N170" s="4">
        <f t="shared" si="14"/>
        <v>4499.95</v>
      </c>
      <c r="O170" s="2">
        <f t="shared" ca="1" si="10"/>
        <v>4</v>
      </c>
      <c r="P170" s="13">
        <f t="shared" ca="1" si="11"/>
        <v>46305</v>
      </c>
      <c r="Q170" s="16">
        <f t="shared" ca="1" si="12"/>
        <v>0</v>
      </c>
      <c r="R170" s="1">
        <f t="shared" si="13"/>
        <v>44651</v>
      </c>
    </row>
    <row r="171" spans="1:18" x14ac:dyDescent="0.25">
      <c r="A171" s="2" t="s">
        <v>314</v>
      </c>
      <c r="B171" s="1">
        <v>45646</v>
      </c>
      <c r="C171" s="2" t="s">
        <v>42</v>
      </c>
      <c r="D171" s="2" t="s">
        <v>43</v>
      </c>
      <c r="E171" s="2" t="s">
        <v>44</v>
      </c>
      <c r="F171" s="2" t="s">
        <v>45</v>
      </c>
      <c r="G171" s="2" t="s">
        <v>46</v>
      </c>
      <c r="H171" s="3">
        <v>2</v>
      </c>
      <c r="I171" s="4">
        <v>149.99</v>
      </c>
      <c r="J171" s="2" t="s">
        <v>20</v>
      </c>
      <c r="K171" s="2" t="s">
        <v>35</v>
      </c>
      <c r="L171" s="2" t="s">
        <v>22</v>
      </c>
      <c r="M171" s="1">
        <v>45239</v>
      </c>
      <c r="N171" s="4">
        <f t="shared" si="14"/>
        <v>299.98</v>
      </c>
      <c r="O171" s="2">
        <f t="shared" ca="1" si="10"/>
        <v>2</v>
      </c>
      <c r="P171" s="13">
        <f t="shared" ca="1" si="11"/>
        <v>46305</v>
      </c>
      <c r="Q171" s="16">
        <f t="shared" ca="1" si="12"/>
        <v>0</v>
      </c>
      <c r="R171" s="1">
        <f t="shared" si="13"/>
        <v>45260</v>
      </c>
    </row>
    <row r="172" spans="1:18" x14ac:dyDescent="0.25">
      <c r="A172" s="2" t="s">
        <v>315</v>
      </c>
      <c r="B172" s="1">
        <v>45648</v>
      </c>
      <c r="C172" s="2" t="s">
        <v>112</v>
      </c>
      <c r="D172" s="2" t="s">
        <v>113</v>
      </c>
      <c r="E172" s="2" t="s">
        <v>52</v>
      </c>
      <c r="F172" s="2" t="s">
        <v>53</v>
      </c>
      <c r="G172" s="2" t="s">
        <v>19</v>
      </c>
      <c r="H172" s="3">
        <v>2</v>
      </c>
      <c r="I172" s="4">
        <v>149.99</v>
      </c>
      <c r="J172" s="2" t="s">
        <v>57</v>
      </c>
      <c r="K172" s="2" t="s">
        <v>50</v>
      </c>
      <c r="L172" s="2" t="s">
        <v>27</v>
      </c>
      <c r="M172" s="1">
        <v>45280</v>
      </c>
      <c r="N172" s="4">
        <f t="shared" si="14"/>
        <v>299.98</v>
      </c>
      <c r="O172" s="2">
        <f t="shared" ca="1" si="10"/>
        <v>2</v>
      </c>
      <c r="P172" s="13">
        <f t="shared" ca="1" si="11"/>
        <v>46305</v>
      </c>
      <c r="Q172" s="16">
        <f t="shared" ca="1" si="12"/>
        <v>0</v>
      </c>
      <c r="R172" s="1">
        <f t="shared" si="13"/>
        <v>45291</v>
      </c>
    </row>
    <row r="173" spans="1:18" x14ac:dyDescent="0.25">
      <c r="A173" s="2" t="s">
        <v>316</v>
      </c>
      <c r="B173" s="1">
        <v>45648</v>
      </c>
      <c r="C173" s="2" t="s">
        <v>182</v>
      </c>
      <c r="D173" s="2" t="s">
        <v>183</v>
      </c>
      <c r="E173" s="2" t="s">
        <v>44</v>
      </c>
      <c r="F173" s="2" t="s">
        <v>45</v>
      </c>
      <c r="G173" s="2" t="s">
        <v>46</v>
      </c>
      <c r="H173" s="3">
        <v>3</v>
      </c>
      <c r="I173" s="4">
        <v>149.99</v>
      </c>
      <c r="J173" s="2" t="s">
        <v>57</v>
      </c>
      <c r="K173" s="2" t="s">
        <v>40</v>
      </c>
      <c r="L173" s="2" t="s">
        <v>36</v>
      </c>
      <c r="M173" s="1">
        <v>44522</v>
      </c>
      <c r="N173" s="4">
        <f t="shared" si="14"/>
        <v>449.97</v>
      </c>
      <c r="O173" s="2">
        <f t="shared" ca="1" si="10"/>
        <v>4</v>
      </c>
      <c r="P173" s="13">
        <f t="shared" ca="1" si="11"/>
        <v>46305</v>
      </c>
      <c r="Q173" s="16">
        <f t="shared" ca="1" si="12"/>
        <v>0</v>
      </c>
      <c r="R173" s="1">
        <f t="shared" si="13"/>
        <v>44530</v>
      </c>
    </row>
    <row r="174" spans="1:18" x14ac:dyDescent="0.25">
      <c r="A174" s="2" t="s">
        <v>317</v>
      </c>
      <c r="B174" s="1">
        <v>45649</v>
      </c>
      <c r="C174" s="2" t="s">
        <v>29</v>
      </c>
      <c r="D174" s="2" t="s">
        <v>30</v>
      </c>
      <c r="E174" s="2" t="s">
        <v>105</v>
      </c>
      <c r="F174" s="2" t="s">
        <v>106</v>
      </c>
      <c r="G174" s="2" t="s">
        <v>46</v>
      </c>
      <c r="H174" s="3">
        <v>2</v>
      </c>
      <c r="I174" s="4">
        <v>299.99</v>
      </c>
      <c r="J174" s="2" t="s">
        <v>34</v>
      </c>
      <c r="K174" s="2" t="s">
        <v>35</v>
      </c>
      <c r="L174" s="2" t="s">
        <v>22</v>
      </c>
      <c r="M174" s="1">
        <v>44721</v>
      </c>
      <c r="N174" s="4">
        <f t="shared" si="14"/>
        <v>599.98</v>
      </c>
      <c r="O174" s="2">
        <f t="shared" ca="1" si="10"/>
        <v>4</v>
      </c>
      <c r="P174" s="13">
        <f t="shared" ca="1" si="11"/>
        <v>46305</v>
      </c>
      <c r="Q174" s="16">
        <f t="shared" ca="1" si="12"/>
        <v>0</v>
      </c>
      <c r="R174" s="1">
        <f t="shared" si="13"/>
        <v>44742</v>
      </c>
    </row>
    <row r="175" spans="1:18" x14ac:dyDescent="0.25">
      <c r="A175" s="2" t="s">
        <v>318</v>
      </c>
      <c r="B175" s="1">
        <v>45654</v>
      </c>
      <c r="C175" s="2" t="s">
        <v>42</v>
      </c>
      <c r="D175" s="2" t="s">
        <v>43</v>
      </c>
      <c r="E175" s="2" t="s">
        <v>105</v>
      </c>
      <c r="F175" s="2" t="s">
        <v>106</v>
      </c>
      <c r="G175" s="2" t="s">
        <v>46</v>
      </c>
      <c r="H175" s="3">
        <v>2</v>
      </c>
      <c r="I175" s="4">
        <v>299.99</v>
      </c>
      <c r="J175" s="2" t="s">
        <v>20</v>
      </c>
      <c r="K175" s="2" t="s">
        <v>50</v>
      </c>
      <c r="L175" s="2" t="s">
        <v>22</v>
      </c>
      <c r="M175" s="1">
        <v>44771</v>
      </c>
      <c r="N175" s="4">
        <f t="shared" si="14"/>
        <v>599.98</v>
      </c>
      <c r="O175" s="2">
        <f t="shared" ca="1" si="10"/>
        <v>4</v>
      </c>
      <c r="P175" s="13">
        <f t="shared" ca="1" si="11"/>
        <v>46305</v>
      </c>
      <c r="Q175" s="16">
        <f t="shared" ca="1" si="12"/>
        <v>0</v>
      </c>
      <c r="R175" s="1">
        <f t="shared" si="13"/>
        <v>44773</v>
      </c>
    </row>
    <row r="176" spans="1:18" x14ac:dyDescent="0.25">
      <c r="A176" s="2" t="s">
        <v>319</v>
      </c>
      <c r="B176" s="1">
        <v>45654</v>
      </c>
      <c r="C176" s="2" t="s">
        <v>120</v>
      </c>
      <c r="D176" s="2" t="s">
        <v>121</v>
      </c>
      <c r="E176" s="2" t="s">
        <v>126</v>
      </c>
      <c r="F176" s="2" t="s">
        <v>127</v>
      </c>
      <c r="G176" s="2" t="s">
        <v>46</v>
      </c>
      <c r="H176" s="3">
        <v>4</v>
      </c>
      <c r="I176" s="4">
        <v>199.99</v>
      </c>
      <c r="J176" s="2" t="s">
        <v>26</v>
      </c>
      <c r="K176" s="2" t="s">
        <v>21</v>
      </c>
      <c r="L176" s="2" t="s">
        <v>22</v>
      </c>
      <c r="M176" s="1">
        <v>44523</v>
      </c>
      <c r="N176" s="4">
        <f t="shared" si="14"/>
        <v>799.96</v>
      </c>
      <c r="O176" s="2">
        <f t="shared" ca="1" si="10"/>
        <v>4</v>
      </c>
      <c r="P176" s="13">
        <f t="shared" ca="1" si="11"/>
        <v>46305</v>
      </c>
      <c r="Q176" s="16">
        <f t="shared" ca="1" si="12"/>
        <v>0</v>
      </c>
      <c r="R176" s="1">
        <f t="shared" si="13"/>
        <v>44530</v>
      </c>
    </row>
    <row r="177" spans="1:18" x14ac:dyDescent="0.25">
      <c r="A177" s="2" t="s">
        <v>320</v>
      </c>
      <c r="B177" s="1">
        <v>45655</v>
      </c>
      <c r="C177" s="2" t="s">
        <v>59</v>
      </c>
      <c r="D177" s="2" t="s">
        <v>60</v>
      </c>
      <c r="E177" s="2" t="s">
        <v>117</v>
      </c>
      <c r="F177" s="2" t="s">
        <v>118</v>
      </c>
      <c r="G177" s="2" t="s">
        <v>19</v>
      </c>
      <c r="H177" s="3">
        <v>1</v>
      </c>
      <c r="I177" s="4">
        <v>89.99</v>
      </c>
      <c r="J177" s="2" t="s">
        <v>26</v>
      </c>
      <c r="K177" s="2" t="s">
        <v>35</v>
      </c>
      <c r="L177" s="2" t="s">
        <v>27</v>
      </c>
      <c r="M177" s="1">
        <v>44591</v>
      </c>
      <c r="N177" s="4">
        <f t="shared" si="14"/>
        <v>89.99</v>
      </c>
      <c r="O177" s="2">
        <f t="shared" ca="1" si="10"/>
        <v>4</v>
      </c>
      <c r="P177" s="13">
        <f t="shared" ca="1" si="11"/>
        <v>46305</v>
      </c>
      <c r="Q177" s="16">
        <f t="shared" ca="1" si="12"/>
        <v>0</v>
      </c>
      <c r="R177" s="1">
        <f t="shared" si="13"/>
        <v>44592</v>
      </c>
    </row>
    <row r="178" spans="1:18" x14ac:dyDescent="0.25">
      <c r="A178" s="2" t="s">
        <v>321</v>
      </c>
      <c r="B178" s="1">
        <v>45655</v>
      </c>
      <c r="C178" s="2" t="s">
        <v>108</v>
      </c>
      <c r="D178" s="2" t="s">
        <v>109</v>
      </c>
      <c r="E178" s="2" t="s">
        <v>44</v>
      </c>
      <c r="F178" s="2" t="s">
        <v>45</v>
      </c>
      <c r="G178" s="2" t="s">
        <v>46</v>
      </c>
      <c r="H178" s="3">
        <v>5</v>
      </c>
      <c r="I178" s="4">
        <v>149.99</v>
      </c>
      <c r="J178" s="2" t="s">
        <v>20</v>
      </c>
      <c r="K178" s="2" t="s">
        <v>21</v>
      </c>
      <c r="L178" s="2" t="s">
        <v>27</v>
      </c>
      <c r="M178" s="1">
        <v>45347</v>
      </c>
      <c r="N178" s="4">
        <f t="shared" si="14"/>
        <v>749.95</v>
      </c>
      <c r="O178" s="2">
        <f t="shared" ca="1" si="10"/>
        <v>2</v>
      </c>
      <c r="P178" s="13">
        <f t="shared" ca="1" si="11"/>
        <v>46305</v>
      </c>
      <c r="Q178" s="16">
        <f t="shared" ca="1" si="12"/>
        <v>0</v>
      </c>
      <c r="R178" s="1">
        <f t="shared" si="13"/>
        <v>45351</v>
      </c>
    </row>
    <row r="179" spans="1:18" x14ac:dyDescent="0.25">
      <c r="A179" s="2" t="s">
        <v>322</v>
      </c>
      <c r="B179" s="1">
        <v>45657</v>
      </c>
      <c r="C179" s="2" t="s">
        <v>86</v>
      </c>
      <c r="D179" s="2" t="s">
        <v>87</v>
      </c>
      <c r="E179" s="2" t="s">
        <v>61</v>
      </c>
      <c r="F179" s="2" t="s">
        <v>62</v>
      </c>
      <c r="G179" s="2" t="s">
        <v>19</v>
      </c>
      <c r="H179" s="3">
        <v>1</v>
      </c>
      <c r="I179" s="4">
        <v>899.99</v>
      </c>
      <c r="J179" s="2" t="s">
        <v>34</v>
      </c>
      <c r="K179" s="2" t="s">
        <v>40</v>
      </c>
      <c r="L179" s="2" t="s">
        <v>27</v>
      </c>
      <c r="M179" s="1">
        <v>45050</v>
      </c>
      <c r="N179" s="4">
        <f t="shared" si="14"/>
        <v>899.99</v>
      </c>
      <c r="O179" s="2">
        <f t="shared" ca="1" si="10"/>
        <v>3</v>
      </c>
      <c r="P179" s="13">
        <f t="shared" ca="1" si="11"/>
        <v>46305</v>
      </c>
      <c r="Q179" s="16">
        <f t="shared" ca="1" si="12"/>
        <v>0</v>
      </c>
      <c r="R179" s="1">
        <f t="shared" si="13"/>
        <v>45077</v>
      </c>
    </row>
    <row r="180" spans="1:18" x14ac:dyDescent="0.25">
      <c r="A180" s="2" t="s">
        <v>323</v>
      </c>
      <c r="B180" s="1">
        <v>45660</v>
      </c>
      <c r="C180" s="2" t="s">
        <v>147</v>
      </c>
      <c r="D180" s="2" t="s">
        <v>148</v>
      </c>
      <c r="E180" s="2" t="s">
        <v>117</v>
      </c>
      <c r="F180" s="2" t="s">
        <v>118</v>
      </c>
      <c r="G180" s="2" t="s">
        <v>19</v>
      </c>
      <c r="H180" s="3">
        <v>2</v>
      </c>
      <c r="I180" s="4">
        <v>89.99</v>
      </c>
      <c r="J180" s="2" t="s">
        <v>26</v>
      </c>
      <c r="K180" s="2" t="s">
        <v>35</v>
      </c>
      <c r="L180" s="2" t="s">
        <v>27</v>
      </c>
      <c r="M180" s="1">
        <v>44564</v>
      </c>
      <c r="N180" s="4">
        <f t="shared" si="14"/>
        <v>179.98</v>
      </c>
      <c r="O180" s="2">
        <f t="shared" ca="1" si="10"/>
        <v>4</v>
      </c>
      <c r="P180" s="13">
        <f t="shared" ca="1" si="11"/>
        <v>46305</v>
      </c>
      <c r="Q180" s="16">
        <f t="shared" ca="1" si="12"/>
        <v>0</v>
      </c>
      <c r="R180" s="1">
        <f t="shared" si="13"/>
        <v>44592</v>
      </c>
    </row>
    <row r="181" spans="1:18" x14ac:dyDescent="0.25">
      <c r="A181" s="2" t="s">
        <v>324</v>
      </c>
      <c r="B181" s="1">
        <v>45661</v>
      </c>
      <c r="C181" s="2" t="s">
        <v>325</v>
      </c>
      <c r="D181" s="2" t="s">
        <v>326</v>
      </c>
      <c r="E181" s="2" t="s">
        <v>61</v>
      </c>
      <c r="F181" s="2" t="s">
        <v>62</v>
      </c>
      <c r="G181" s="2" t="s">
        <v>19</v>
      </c>
      <c r="H181" s="3">
        <v>1</v>
      </c>
      <c r="I181" s="4">
        <v>899.99</v>
      </c>
      <c r="J181" s="2" t="s">
        <v>34</v>
      </c>
      <c r="K181" s="2" t="s">
        <v>40</v>
      </c>
      <c r="L181" s="2" t="s">
        <v>36</v>
      </c>
      <c r="M181" s="1">
        <v>44752</v>
      </c>
      <c r="N181" s="4">
        <f t="shared" si="14"/>
        <v>899.99</v>
      </c>
      <c r="O181" s="2">
        <f t="shared" ca="1" si="10"/>
        <v>4</v>
      </c>
      <c r="P181" s="13">
        <f t="shared" ca="1" si="11"/>
        <v>46305</v>
      </c>
      <c r="Q181" s="16">
        <f t="shared" ca="1" si="12"/>
        <v>0</v>
      </c>
      <c r="R181" s="1">
        <f t="shared" si="13"/>
        <v>44773</v>
      </c>
    </row>
    <row r="182" spans="1:18" x14ac:dyDescent="0.25">
      <c r="A182" s="2" t="s">
        <v>327</v>
      </c>
      <c r="B182" s="1">
        <v>45663</v>
      </c>
      <c r="C182" s="2" t="s">
        <v>129</v>
      </c>
      <c r="D182" s="2" t="s">
        <v>130</v>
      </c>
      <c r="E182" s="2" t="s">
        <v>52</v>
      </c>
      <c r="F182" s="2" t="s">
        <v>53</v>
      </c>
      <c r="G182" s="2" t="s">
        <v>19</v>
      </c>
      <c r="H182" s="3">
        <v>5</v>
      </c>
      <c r="I182" s="4">
        <v>149.99</v>
      </c>
      <c r="J182" s="2" t="s">
        <v>34</v>
      </c>
      <c r="K182" s="2" t="s">
        <v>63</v>
      </c>
      <c r="L182" s="2" t="s">
        <v>27</v>
      </c>
      <c r="M182" s="1">
        <v>44824</v>
      </c>
      <c r="N182" s="4">
        <f t="shared" si="14"/>
        <v>749.95</v>
      </c>
      <c r="O182" s="2">
        <f t="shared" ca="1" si="10"/>
        <v>4</v>
      </c>
      <c r="P182" s="13">
        <f t="shared" ca="1" si="11"/>
        <v>46305</v>
      </c>
      <c r="Q182" s="16">
        <f t="shared" ca="1" si="12"/>
        <v>0</v>
      </c>
      <c r="R182" s="1">
        <f t="shared" si="13"/>
        <v>44834</v>
      </c>
    </row>
    <row r="183" spans="1:18" x14ac:dyDescent="0.25">
      <c r="A183" s="2" t="s">
        <v>328</v>
      </c>
      <c r="B183" s="1">
        <v>45663</v>
      </c>
      <c r="C183" s="2" t="s">
        <v>42</v>
      </c>
      <c r="D183" s="2" t="s">
        <v>43</v>
      </c>
      <c r="E183" s="2" t="s">
        <v>105</v>
      </c>
      <c r="F183" s="2" t="s">
        <v>106</v>
      </c>
      <c r="G183" s="2" t="s">
        <v>46</v>
      </c>
      <c r="H183" s="3">
        <v>3</v>
      </c>
      <c r="I183" s="4">
        <v>299.99</v>
      </c>
      <c r="J183" s="2" t="s">
        <v>20</v>
      </c>
      <c r="K183" s="2" t="s">
        <v>35</v>
      </c>
      <c r="L183" s="2" t="s">
        <v>36</v>
      </c>
      <c r="M183" s="1">
        <v>44422</v>
      </c>
      <c r="N183" s="4">
        <f t="shared" si="14"/>
        <v>899.97</v>
      </c>
      <c r="O183" s="2">
        <f t="shared" ca="1" si="10"/>
        <v>5</v>
      </c>
      <c r="P183" s="13">
        <f t="shared" ca="1" si="11"/>
        <v>46305</v>
      </c>
      <c r="Q183" s="16">
        <f t="shared" ca="1" si="12"/>
        <v>0</v>
      </c>
      <c r="R183" s="1">
        <f t="shared" si="13"/>
        <v>44439</v>
      </c>
    </row>
    <row r="184" spans="1:18" x14ac:dyDescent="0.25">
      <c r="A184" s="2" t="s">
        <v>329</v>
      </c>
      <c r="B184" s="1">
        <v>45666</v>
      </c>
      <c r="C184" s="2" t="s">
        <v>65</v>
      </c>
      <c r="D184" s="2" t="s">
        <v>66</v>
      </c>
      <c r="E184" s="2" t="s">
        <v>80</v>
      </c>
      <c r="F184" s="2" t="s">
        <v>81</v>
      </c>
      <c r="G184" s="2" t="s">
        <v>19</v>
      </c>
      <c r="H184" s="3">
        <v>3</v>
      </c>
      <c r="I184" s="4">
        <v>699.99</v>
      </c>
      <c r="J184" s="2" t="s">
        <v>26</v>
      </c>
      <c r="K184" s="2" t="s">
        <v>21</v>
      </c>
      <c r="L184" s="2" t="s">
        <v>27</v>
      </c>
      <c r="M184" s="1">
        <v>45105</v>
      </c>
      <c r="N184" s="4">
        <f t="shared" si="14"/>
        <v>2099.9700000000003</v>
      </c>
      <c r="O184" s="2">
        <f t="shared" ca="1" si="10"/>
        <v>3</v>
      </c>
      <c r="P184" s="13">
        <f t="shared" ca="1" si="11"/>
        <v>46305</v>
      </c>
      <c r="Q184" s="16">
        <f t="shared" ca="1" si="12"/>
        <v>0</v>
      </c>
      <c r="R184" s="1">
        <f t="shared" si="13"/>
        <v>45107</v>
      </c>
    </row>
    <row r="185" spans="1:18" x14ac:dyDescent="0.25">
      <c r="A185" s="2" t="s">
        <v>330</v>
      </c>
      <c r="B185" s="1">
        <v>45667</v>
      </c>
      <c r="C185" s="2" t="s">
        <v>108</v>
      </c>
      <c r="D185" s="2" t="s">
        <v>109</v>
      </c>
      <c r="E185" s="2" t="s">
        <v>126</v>
      </c>
      <c r="F185" s="2" t="s">
        <v>127</v>
      </c>
      <c r="G185" s="2" t="s">
        <v>46</v>
      </c>
      <c r="H185" s="3">
        <v>5</v>
      </c>
      <c r="I185" s="4">
        <v>199.99</v>
      </c>
      <c r="J185" s="2" t="s">
        <v>34</v>
      </c>
      <c r="K185" s="2" t="s">
        <v>21</v>
      </c>
      <c r="L185" s="2" t="s">
        <v>36</v>
      </c>
      <c r="M185" s="1">
        <v>44633</v>
      </c>
      <c r="N185" s="4">
        <f t="shared" si="14"/>
        <v>999.95</v>
      </c>
      <c r="O185" s="2">
        <f t="shared" ca="1" si="10"/>
        <v>4</v>
      </c>
      <c r="P185" s="13">
        <f t="shared" ca="1" si="11"/>
        <v>46305</v>
      </c>
      <c r="Q185" s="16">
        <f t="shared" ca="1" si="12"/>
        <v>0</v>
      </c>
      <c r="R185" s="1">
        <f t="shared" si="13"/>
        <v>44651</v>
      </c>
    </row>
    <row r="186" spans="1:18" x14ac:dyDescent="0.25">
      <c r="A186" s="2" t="s">
        <v>331</v>
      </c>
      <c r="B186" s="1">
        <v>45667</v>
      </c>
      <c r="C186" s="2" t="s">
        <v>93</v>
      </c>
      <c r="D186" s="2" t="s">
        <v>94</v>
      </c>
      <c r="E186" s="2" t="s">
        <v>17</v>
      </c>
      <c r="F186" s="2" t="s">
        <v>18</v>
      </c>
      <c r="G186" s="2" t="s">
        <v>19</v>
      </c>
      <c r="H186" s="3">
        <v>5</v>
      </c>
      <c r="I186" s="4">
        <v>249.99</v>
      </c>
      <c r="J186" s="2" t="s">
        <v>26</v>
      </c>
      <c r="K186" s="2" t="s">
        <v>35</v>
      </c>
      <c r="L186" s="2" t="s">
        <v>22</v>
      </c>
      <c r="M186" s="1">
        <v>45330</v>
      </c>
      <c r="N186" s="4">
        <f t="shared" si="14"/>
        <v>1249.95</v>
      </c>
      <c r="O186" s="2">
        <f t="shared" ca="1" si="10"/>
        <v>2</v>
      </c>
      <c r="P186" s="13">
        <f t="shared" ca="1" si="11"/>
        <v>46305</v>
      </c>
      <c r="Q186" s="16">
        <f t="shared" ca="1" si="12"/>
        <v>0</v>
      </c>
      <c r="R186" s="1">
        <f t="shared" si="13"/>
        <v>45351</v>
      </c>
    </row>
    <row r="187" spans="1:18" x14ac:dyDescent="0.25">
      <c r="A187" s="2" t="s">
        <v>332</v>
      </c>
      <c r="B187" s="1">
        <v>45668</v>
      </c>
      <c r="C187" s="2" t="s">
        <v>138</v>
      </c>
      <c r="D187" s="2" t="s">
        <v>139</v>
      </c>
      <c r="E187" s="2" t="s">
        <v>52</v>
      </c>
      <c r="F187" s="2" t="s">
        <v>53</v>
      </c>
      <c r="G187" s="2" t="s">
        <v>19</v>
      </c>
      <c r="H187" s="3">
        <v>4</v>
      </c>
      <c r="I187" s="4">
        <v>149.99</v>
      </c>
      <c r="J187" s="2" t="s">
        <v>57</v>
      </c>
      <c r="K187" s="2" t="s">
        <v>63</v>
      </c>
      <c r="L187" s="2" t="s">
        <v>36</v>
      </c>
      <c r="M187" s="1">
        <v>44536</v>
      </c>
      <c r="N187" s="4">
        <f t="shared" si="14"/>
        <v>599.96</v>
      </c>
      <c r="O187" s="2">
        <f t="shared" ca="1" si="10"/>
        <v>4</v>
      </c>
      <c r="P187" s="13">
        <f t="shared" ca="1" si="11"/>
        <v>46305</v>
      </c>
      <c r="Q187" s="16">
        <f t="shared" ca="1" si="12"/>
        <v>0</v>
      </c>
      <c r="R187" s="1">
        <f t="shared" si="13"/>
        <v>44561</v>
      </c>
    </row>
    <row r="188" spans="1:18" x14ac:dyDescent="0.25">
      <c r="A188" s="2" t="s">
        <v>333</v>
      </c>
      <c r="B188" s="1">
        <v>45668</v>
      </c>
      <c r="C188" s="2" t="s">
        <v>78</v>
      </c>
      <c r="D188" s="2" t="s">
        <v>79</v>
      </c>
      <c r="E188" s="2" t="s">
        <v>80</v>
      </c>
      <c r="F188" s="2" t="s">
        <v>81</v>
      </c>
      <c r="G188" s="2" t="s">
        <v>19</v>
      </c>
      <c r="H188" s="3">
        <v>3</v>
      </c>
      <c r="I188" s="4">
        <v>699.99</v>
      </c>
      <c r="J188" s="2" t="s">
        <v>20</v>
      </c>
      <c r="K188" s="2" t="s">
        <v>40</v>
      </c>
      <c r="L188" s="2" t="s">
        <v>27</v>
      </c>
      <c r="M188" s="1">
        <v>44602</v>
      </c>
      <c r="N188" s="4">
        <f t="shared" si="14"/>
        <v>2099.9700000000003</v>
      </c>
      <c r="O188" s="2">
        <f t="shared" ca="1" si="10"/>
        <v>4</v>
      </c>
      <c r="P188" s="13">
        <f t="shared" ca="1" si="11"/>
        <v>46305</v>
      </c>
      <c r="Q188" s="16">
        <f t="shared" ca="1" si="12"/>
        <v>0</v>
      </c>
      <c r="R188" s="1">
        <f t="shared" si="13"/>
        <v>44620</v>
      </c>
    </row>
    <row r="189" spans="1:18" x14ac:dyDescent="0.25">
      <c r="A189" s="2" t="s">
        <v>334</v>
      </c>
      <c r="B189" s="1">
        <v>45670</v>
      </c>
      <c r="C189" s="2" t="s">
        <v>293</v>
      </c>
      <c r="D189" s="2" t="s">
        <v>294</v>
      </c>
      <c r="E189" s="2" t="s">
        <v>114</v>
      </c>
      <c r="F189" s="2" t="s">
        <v>115</v>
      </c>
      <c r="G189" s="2" t="s">
        <v>33</v>
      </c>
      <c r="H189" s="3">
        <v>1</v>
      </c>
      <c r="I189" s="4">
        <v>79.989999999999995</v>
      </c>
      <c r="J189" s="2" t="s">
        <v>26</v>
      </c>
      <c r="K189" s="2" t="s">
        <v>35</v>
      </c>
      <c r="L189" s="2" t="s">
        <v>22</v>
      </c>
      <c r="M189" s="1">
        <v>45322</v>
      </c>
      <c r="N189" s="4">
        <f t="shared" si="14"/>
        <v>79.989999999999995</v>
      </c>
      <c r="O189" s="2">
        <f t="shared" ca="1" si="10"/>
        <v>2</v>
      </c>
      <c r="P189" s="13">
        <f t="shared" ca="1" si="11"/>
        <v>46305</v>
      </c>
      <c r="Q189" s="16">
        <f t="shared" ca="1" si="12"/>
        <v>0</v>
      </c>
      <c r="R189" s="1">
        <f t="shared" si="13"/>
        <v>45322</v>
      </c>
    </row>
    <row r="190" spans="1:18" x14ac:dyDescent="0.25">
      <c r="A190" s="2" t="s">
        <v>335</v>
      </c>
      <c r="B190" s="1">
        <v>45670</v>
      </c>
      <c r="C190" s="2" t="s">
        <v>86</v>
      </c>
      <c r="D190" s="2" t="s">
        <v>87</v>
      </c>
      <c r="E190" s="2" t="s">
        <v>105</v>
      </c>
      <c r="F190" s="2" t="s">
        <v>106</v>
      </c>
      <c r="G190" s="2" t="s">
        <v>46</v>
      </c>
      <c r="H190" s="3">
        <v>1</v>
      </c>
      <c r="I190" s="4">
        <v>299.99</v>
      </c>
      <c r="J190" s="2" t="s">
        <v>26</v>
      </c>
      <c r="K190" s="2" t="s">
        <v>40</v>
      </c>
      <c r="L190" s="2" t="s">
        <v>22</v>
      </c>
      <c r="M190" s="1">
        <v>44436</v>
      </c>
      <c r="N190" s="4">
        <f t="shared" si="14"/>
        <v>299.99</v>
      </c>
      <c r="O190" s="2">
        <f t="shared" ca="1" si="10"/>
        <v>5</v>
      </c>
      <c r="P190" s="13">
        <f t="shared" ca="1" si="11"/>
        <v>46305</v>
      </c>
      <c r="Q190" s="16">
        <f t="shared" ca="1" si="12"/>
        <v>0</v>
      </c>
      <c r="R190" s="1">
        <f t="shared" si="13"/>
        <v>44439</v>
      </c>
    </row>
    <row r="191" spans="1:18" x14ac:dyDescent="0.25">
      <c r="A191" s="2" t="s">
        <v>336</v>
      </c>
      <c r="B191" s="1">
        <v>45671</v>
      </c>
      <c r="C191" s="2" t="s">
        <v>158</v>
      </c>
      <c r="D191" s="2" t="s">
        <v>159</v>
      </c>
      <c r="E191" s="2" t="s">
        <v>17</v>
      </c>
      <c r="F191" s="2" t="s">
        <v>18</v>
      </c>
      <c r="G191" s="2" t="s">
        <v>19</v>
      </c>
      <c r="H191" s="3">
        <v>4</v>
      </c>
      <c r="I191" s="4">
        <v>249.99</v>
      </c>
      <c r="J191" s="2" t="s">
        <v>26</v>
      </c>
      <c r="K191" s="2" t="s">
        <v>40</v>
      </c>
      <c r="L191" s="2" t="s">
        <v>27</v>
      </c>
      <c r="M191" s="1">
        <v>44460</v>
      </c>
      <c r="N191" s="4">
        <f t="shared" si="14"/>
        <v>999.96</v>
      </c>
      <c r="O191" s="2">
        <f t="shared" ca="1" si="10"/>
        <v>5</v>
      </c>
      <c r="P191" s="13">
        <f t="shared" ca="1" si="11"/>
        <v>46305</v>
      </c>
      <c r="Q191" s="16">
        <f t="shared" ca="1" si="12"/>
        <v>0</v>
      </c>
      <c r="R191" s="1">
        <f t="shared" si="13"/>
        <v>44469</v>
      </c>
    </row>
    <row r="192" spans="1:18" x14ac:dyDescent="0.25">
      <c r="A192" s="2" t="s">
        <v>337</v>
      </c>
      <c r="B192" s="1">
        <v>45671</v>
      </c>
      <c r="C192" s="2" t="s">
        <v>120</v>
      </c>
      <c r="D192" s="2" t="s">
        <v>121</v>
      </c>
      <c r="E192" s="2" t="s">
        <v>52</v>
      </c>
      <c r="F192" s="2" t="s">
        <v>53</v>
      </c>
      <c r="G192" s="2" t="s">
        <v>19</v>
      </c>
      <c r="H192" s="3">
        <v>2</v>
      </c>
      <c r="I192" s="4">
        <v>149.99</v>
      </c>
      <c r="J192" s="2" t="s">
        <v>20</v>
      </c>
      <c r="K192" s="2" t="s">
        <v>40</v>
      </c>
      <c r="L192" s="2" t="s">
        <v>36</v>
      </c>
      <c r="M192" s="1">
        <v>44913</v>
      </c>
      <c r="N192" s="4">
        <f t="shared" si="14"/>
        <v>299.98</v>
      </c>
      <c r="O192" s="2">
        <f t="shared" ca="1" si="10"/>
        <v>3</v>
      </c>
      <c r="P192" s="13">
        <f t="shared" ca="1" si="11"/>
        <v>46305</v>
      </c>
      <c r="Q192" s="16">
        <f t="shared" ca="1" si="12"/>
        <v>0</v>
      </c>
      <c r="R192" s="1">
        <f t="shared" si="13"/>
        <v>44926</v>
      </c>
    </row>
    <row r="193" spans="1:18" x14ac:dyDescent="0.25">
      <c r="A193" s="2" t="s">
        <v>338</v>
      </c>
      <c r="B193" s="1">
        <v>45671</v>
      </c>
      <c r="C193" s="2" t="s">
        <v>234</v>
      </c>
      <c r="D193" s="2" t="s">
        <v>235</v>
      </c>
      <c r="E193" s="2" t="s">
        <v>105</v>
      </c>
      <c r="F193" s="2" t="s">
        <v>106</v>
      </c>
      <c r="G193" s="2" t="s">
        <v>46</v>
      </c>
      <c r="H193" s="3">
        <v>3</v>
      </c>
      <c r="I193" s="4">
        <v>299.99</v>
      </c>
      <c r="J193" s="2" t="s">
        <v>26</v>
      </c>
      <c r="K193" s="2" t="s">
        <v>35</v>
      </c>
      <c r="L193" s="2" t="s">
        <v>22</v>
      </c>
      <c r="M193" s="1">
        <v>45204</v>
      </c>
      <c r="N193" s="4">
        <f t="shared" si="14"/>
        <v>899.97</v>
      </c>
      <c r="O193" s="2">
        <f t="shared" ca="1" si="10"/>
        <v>3</v>
      </c>
      <c r="P193" s="13">
        <f t="shared" ca="1" si="11"/>
        <v>46305</v>
      </c>
      <c r="Q193" s="16">
        <f t="shared" ca="1" si="12"/>
        <v>0</v>
      </c>
      <c r="R193" s="1">
        <f t="shared" si="13"/>
        <v>45230</v>
      </c>
    </row>
    <row r="194" spans="1:18" x14ac:dyDescent="0.25">
      <c r="A194" s="2" t="s">
        <v>339</v>
      </c>
      <c r="B194" s="1">
        <v>45673</v>
      </c>
      <c r="C194" s="2" t="s">
        <v>226</v>
      </c>
      <c r="D194" s="2" t="s">
        <v>227</v>
      </c>
      <c r="E194" s="2" t="s">
        <v>126</v>
      </c>
      <c r="F194" s="2" t="s">
        <v>127</v>
      </c>
      <c r="G194" s="2" t="s">
        <v>46</v>
      </c>
      <c r="H194" s="3">
        <v>4</v>
      </c>
      <c r="I194" s="4">
        <v>199.99</v>
      </c>
      <c r="J194" s="2" t="s">
        <v>57</v>
      </c>
      <c r="K194" s="2" t="s">
        <v>35</v>
      </c>
      <c r="L194" s="2" t="s">
        <v>36</v>
      </c>
      <c r="M194" s="1">
        <v>44544</v>
      </c>
      <c r="N194" s="4">
        <f t="shared" si="14"/>
        <v>799.96</v>
      </c>
      <c r="O194" s="2">
        <f t="shared" ref="O194:O251" ca="1" si="15">DATEDIF(M194,TODAY(),"Y")</f>
        <v>4</v>
      </c>
      <c r="P194" s="13">
        <f t="shared" ref="P194:P251" ca="1" si="16">TODAY()</f>
        <v>46305</v>
      </c>
      <c r="Q194" s="16">
        <f t="shared" ref="Q194:Q251" ca="1" si="17">IF(A194&lt;&gt;"",IF(Q194="",NOW(),Q194),"")</f>
        <v>0</v>
      </c>
      <c r="R194" s="1">
        <f t="shared" ref="R194:R251" si="18">EOMONTH(M194,0)</f>
        <v>44561</v>
      </c>
    </row>
    <row r="195" spans="1:18" x14ac:dyDescent="0.25">
      <c r="A195" s="2" t="s">
        <v>340</v>
      </c>
      <c r="B195" s="1">
        <v>45673</v>
      </c>
      <c r="C195" s="2" t="s">
        <v>211</v>
      </c>
      <c r="D195" s="2" t="s">
        <v>212</v>
      </c>
      <c r="E195" s="2" t="s">
        <v>105</v>
      </c>
      <c r="F195" s="2" t="s">
        <v>106</v>
      </c>
      <c r="G195" s="2" t="s">
        <v>46</v>
      </c>
      <c r="H195" s="3">
        <v>5</v>
      </c>
      <c r="I195" s="4">
        <v>299.99</v>
      </c>
      <c r="J195" s="2" t="s">
        <v>57</v>
      </c>
      <c r="K195" s="2" t="s">
        <v>21</v>
      </c>
      <c r="L195" s="2" t="s">
        <v>22</v>
      </c>
      <c r="M195" s="1">
        <v>44431</v>
      </c>
      <c r="N195" s="4">
        <f t="shared" ref="N195:N251" si="19">H195*I195</f>
        <v>1499.95</v>
      </c>
      <c r="O195" s="2">
        <f t="shared" ca="1" si="15"/>
        <v>5</v>
      </c>
      <c r="P195" s="13">
        <f t="shared" ca="1" si="16"/>
        <v>46305</v>
      </c>
      <c r="Q195" s="16">
        <f t="shared" ca="1" si="17"/>
        <v>0</v>
      </c>
      <c r="R195" s="1">
        <f t="shared" si="18"/>
        <v>44439</v>
      </c>
    </row>
    <row r="196" spans="1:18" x14ac:dyDescent="0.25">
      <c r="A196" s="2" t="s">
        <v>341</v>
      </c>
      <c r="B196" s="1">
        <v>45673</v>
      </c>
      <c r="C196" s="2" t="s">
        <v>59</v>
      </c>
      <c r="D196" s="2" t="s">
        <v>60</v>
      </c>
      <c r="E196" s="2" t="s">
        <v>44</v>
      </c>
      <c r="F196" s="2" t="s">
        <v>45</v>
      </c>
      <c r="G196" s="2" t="s">
        <v>46</v>
      </c>
      <c r="H196" s="3">
        <v>3</v>
      </c>
      <c r="I196" s="4">
        <v>149.99</v>
      </c>
      <c r="J196" s="2" t="s">
        <v>26</v>
      </c>
      <c r="K196" s="2" t="s">
        <v>63</v>
      </c>
      <c r="L196" s="2" t="s">
        <v>36</v>
      </c>
      <c r="M196" s="1">
        <v>44395</v>
      </c>
      <c r="N196" s="4">
        <f t="shared" si="19"/>
        <v>449.97</v>
      </c>
      <c r="O196" s="2">
        <f t="shared" ca="1" si="15"/>
        <v>5</v>
      </c>
      <c r="P196" s="13">
        <f t="shared" ca="1" si="16"/>
        <v>46305</v>
      </c>
      <c r="Q196" s="16">
        <f t="shared" ca="1" si="17"/>
        <v>0</v>
      </c>
      <c r="R196" s="1">
        <f t="shared" si="18"/>
        <v>44408</v>
      </c>
    </row>
    <row r="197" spans="1:18" x14ac:dyDescent="0.25">
      <c r="A197" s="2" t="s">
        <v>342</v>
      </c>
      <c r="B197" s="1">
        <v>45676</v>
      </c>
      <c r="C197" s="2" t="s">
        <v>129</v>
      </c>
      <c r="D197" s="2" t="s">
        <v>130</v>
      </c>
      <c r="E197" s="2" t="s">
        <v>31</v>
      </c>
      <c r="F197" s="2" t="s">
        <v>32</v>
      </c>
      <c r="G197" s="2" t="s">
        <v>33</v>
      </c>
      <c r="H197" s="3">
        <v>5</v>
      </c>
      <c r="I197" s="4">
        <v>59.99</v>
      </c>
      <c r="J197" s="2" t="s">
        <v>57</v>
      </c>
      <c r="K197" s="2" t="s">
        <v>63</v>
      </c>
      <c r="L197" s="2" t="s">
        <v>22</v>
      </c>
      <c r="M197" s="1">
        <v>44642</v>
      </c>
      <c r="N197" s="4">
        <f t="shared" si="19"/>
        <v>299.95</v>
      </c>
      <c r="O197" s="2">
        <f t="shared" ca="1" si="15"/>
        <v>4</v>
      </c>
      <c r="P197" s="13">
        <f t="shared" ca="1" si="16"/>
        <v>46305</v>
      </c>
      <c r="Q197" s="16">
        <f t="shared" ca="1" si="17"/>
        <v>0</v>
      </c>
      <c r="R197" s="1">
        <f t="shared" si="18"/>
        <v>44651</v>
      </c>
    </row>
    <row r="198" spans="1:18" x14ac:dyDescent="0.25">
      <c r="A198" s="2" t="s">
        <v>343</v>
      </c>
      <c r="B198" s="1">
        <v>45682</v>
      </c>
      <c r="C198" s="2" t="s">
        <v>68</v>
      </c>
      <c r="D198" s="2" t="s">
        <v>69</v>
      </c>
      <c r="E198" s="2" t="s">
        <v>31</v>
      </c>
      <c r="F198" s="2" t="s">
        <v>32</v>
      </c>
      <c r="G198" s="2" t="s">
        <v>33</v>
      </c>
      <c r="H198" s="3">
        <v>4</v>
      </c>
      <c r="I198" s="4">
        <v>59.99</v>
      </c>
      <c r="J198" s="2" t="s">
        <v>57</v>
      </c>
      <c r="K198" s="2" t="s">
        <v>63</v>
      </c>
      <c r="L198" s="2" t="s">
        <v>36</v>
      </c>
      <c r="M198" s="1">
        <v>44564</v>
      </c>
      <c r="N198" s="4">
        <f t="shared" si="19"/>
        <v>239.96</v>
      </c>
      <c r="O198" s="2">
        <f t="shared" ca="1" si="15"/>
        <v>4</v>
      </c>
      <c r="P198" s="13">
        <f t="shared" ca="1" si="16"/>
        <v>46305</v>
      </c>
      <c r="Q198" s="16">
        <f t="shared" ca="1" si="17"/>
        <v>0</v>
      </c>
      <c r="R198" s="1">
        <f t="shared" si="18"/>
        <v>44592</v>
      </c>
    </row>
    <row r="199" spans="1:18" x14ac:dyDescent="0.25">
      <c r="A199" s="2" t="s">
        <v>344</v>
      </c>
      <c r="B199" s="1">
        <v>45683</v>
      </c>
      <c r="C199" s="2" t="s">
        <v>48</v>
      </c>
      <c r="D199" s="2" t="s">
        <v>49</v>
      </c>
      <c r="E199" s="2" t="s">
        <v>17</v>
      </c>
      <c r="F199" s="2" t="s">
        <v>18</v>
      </c>
      <c r="G199" s="2" t="s">
        <v>19</v>
      </c>
      <c r="H199" s="3">
        <v>4</v>
      </c>
      <c r="I199" s="4">
        <v>249.99</v>
      </c>
      <c r="J199" s="2" t="s">
        <v>57</v>
      </c>
      <c r="K199" s="2" t="s">
        <v>21</v>
      </c>
      <c r="L199" s="2" t="s">
        <v>27</v>
      </c>
      <c r="M199" s="1">
        <v>45217</v>
      </c>
      <c r="N199" s="4">
        <f t="shared" si="19"/>
        <v>999.96</v>
      </c>
      <c r="O199" s="2">
        <f t="shared" ca="1" si="15"/>
        <v>2</v>
      </c>
      <c r="P199" s="13">
        <f t="shared" ca="1" si="16"/>
        <v>46305</v>
      </c>
      <c r="Q199" s="16">
        <f t="shared" ca="1" si="17"/>
        <v>0</v>
      </c>
      <c r="R199" s="1">
        <f t="shared" si="18"/>
        <v>45230</v>
      </c>
    </row>
    <row r="200" spans="1:18" x14ac:dyDescent="0.25">
      <c r="A200" s="2" t="s">
        <v>345</v>
      </c>
      <c r="B200" s="1">
        <v>45686</v>
      </c>
      <c r="C200" s="2" t="s">
        <v>252</v>
      </c>
      <c r="D200" s="2" t="s">
        <v>253</v>
      </c>
      <c r="E200" s="2" t="s">
        <v>61</v>
      </c>
      <c r="F200" s="2" t="s">
        <v>62</v>
      </c>
      <c r="G200" s="2" t="s">
        <v>19</v>
      </c>
      <c r="H200" s="3">
        <v>4</v>
      </c>
      <c r="I200" s="4">
        <v>899.99</v>
      </c>
      <c r="J200" s="2" t="s">
        <v>34</v>
      </c>
      <c r="K200" s="2" t="s">
        <v>21</v>
      </c>
      <c r="L200" s="2" t="s">
        <v>22</v>
      </c>
      <c r="M200" s="1">
        <v>44734</v>
      </c>
      <c r="N200" s="4">
        <f t="shared" si="19"/>
        <v>3599.96</v>
      </c>
      <c r="O200" s="2">
        <f t="shared" ca="1" si="15"/>
        <v>4</v>
      </c>
      <c r="P200" s="13">
        <f t="shared" ca="1" si="16"/>
        <v>46305</v>
      </c>
      <c r="Q200" s="16">
        <f t="shared" ca="1" si="17"/>
        <v>0</v>
      </c>
      <c r="R200" s="1">
        <f t="shared" si="18"/>
        <v>44742</v>
      </c>
    </row>
    <row r="201" spans="1:18" x14ac:dyDescent="0.25">
      <c r="A201" s="2" t="s">
        <v>346</v>
      </c>
      <c r="B201" s="1">
        <v>45686</v>
      </c>
      <c r="C201" s="2" t="s">
        <v>86</v>
      </c>
      <c r="D201" s="2" t="s">
        <v>87</v>
      </c>
      <c r="E201" s="2" t="s">
        <v>105</v>
      </c>
      <c r="F201" s="2" t="s">
        <v>106</v>
      </c>
      <c r="G201" s="2" t="s">
        <v>46</v>
      </c>
      <c r="H201" s="3">
        <v>3</v>
      </c>
      <c r="I201" s="4">
        <v>299.99</v>
      </c>
      <c r="J201" s="2" t="s">
        <v>57</v>
      </c>
      <c r="K201" s="2" t="s">
        <v>50</v>
      </c>
      <c r="L201" s="2" t="s">
        <v>36</v>
      </c>
      <c r="M201" s="1">
        <v>44952</v>
      </c>
      <c r="N201" s="4">
        <f t="shared" si="19"/>
        <v>899.97</v>
      </c>
      <c r="O201" s="2">
        <f t="shared" ca="1" si="15"/>
        <v>3</v>
      </c>
      <c r="P201" s="13">
        <f t="shared" ca="1" si="16"/>
        <v>46305</v>
      </c>
      <c r="Q201" s="16">
        <f t="shared" ca="1" si="17"/>
        <v>0</v>
      </c>
      <c r="R201" s="1">
        <f t="shared" si="18"/>
        <v>44957</v>
      </c>
    </row>
    <row r="202" spans="1:18" x14ac:dyDescent="0.25">
      <c r="A202" s="2" t="s">
        <v>347</v>
      </c>
      <c r="B202" s="1">
        <v>45686</v>
      </c>
      <c r="C202" s="2" t="s">
        <v>293</v>
      </c>
      <c r="D202" s="2" t="s">
        <v>294</v>
      </c>
      <c r="E202" s="2" t="s">
        <v>80</v>
      </c>
      <c r="F202" s="2" t="s">
        <v>81</v>
      </c>
      <c r="G202" s="2" t="s">
        <v>19</v>
      </c>
      <c r="H202" s="3">
        <v>2</v>
      </c>
      <c r="I202" s="4">
        <v>699.99</v>
      </c>
      <c r="J202" s="2" t="s">
        <v>57</v>
      </c>
      <c r="K202" s="2" t="s">
        <v>21</v>
      </c>
      <c r="L202" s="2" t="s">
        <v>27</v>
      </c>
      <c r="M202" s="1">
        <v>44681</v>
      </c>
      <c r="N202" s="4">
        <f t="shared" si="19"/>
        <v>1399.98</v>
      </c>
      <c r="O202" s="2">
        <f t="shared" ca="1" si="15"/>
        <v>4</v>
      </c>
      <c r="P202" s="13">
        <f t="shared" ca="1" si="16"/>
        <v>46305</v>
      </c>
      <c r="Q202" s="16">
        <f t="shared" ca="1" si="17"/>
        <v>0</v>
      </c>
      <c r="R202" s="1">
        <f t="shared" si="18"/>
        <v>44681</v>
      </c>
    </row>
    <row r="203" spans="1:18" x14ac:dyDescent="0.25">
      <c r="A203" s="2" t="s">
        <v>348</v>
      </c>
      <c r="B203" s="1">
        <v>45688</v>
      </c>
      <c r="C203" s="2" t="s">
        <v>65</v>
      </c>
      <c r="D203" s="2" t="s">
        <v>66</v>
      </c>
      <c r="E203" s="2" t="s">
        <v>80</v>
      </c>
      <c r="F203" s="2" t="s">
        <v>81</v>
      </c>
      <c r="G203" s="2" t="s">
        <v>19</v>
      </c>
      <c r="H203" s="3">
        <v>4</v>
      </c>
      <c r="I203" s="4">
        <v>699.99</v>
      </c>
      <c r="J203" s="2" t="s">
        <v>57</v>
      </c>
      <c r="K203" s="2" t="s">
        <v>50</v>
      </c>
      <c r="L203" s="2" t="s">
        <v>27</v>
      </c>
      <c r="M203" s="1">
        <v>44692</v>
      </c>
      <c r="N203" s="4">
        <f t="shared" si="19"/>
        <v>2799.96</v>
      </c>
      <c r="O203" s="2">
        <f t="shared" ca="1" si="15"/>
        <v>4</v>
      </c>
      <c r="P203" s="13">
        <f t="shared" ca="1" si="16"/>
        <v>46305</v>
      </c>
      <c r="Q203" s="16">
        <f t="shared" ca="1" si="17"/>
        <v>0</v>
      </c>
      <c r="R203" s="1">
        <f t="shared" si="18"/>
        <v>44712</v>
      </c>
    </row>
    <row r="204" spans="1:18" x14ac:dyDescent="0.25">
      <c r="A204" s="2" t="s">
        <v>349</v>
      </c>
      <c r="B204" s="1">
        <v>45688</v>
      </c>
      <c r="C204" s="2" t="s">
        <v>123</v>
      </c>
      <c r="D204" s="2" t="s">
        <v>124</v>
      </c>
      <c r="E204" s="2" t="s">
        <v>117</v>
      </c>
      <c r="F204" s="2" t="s">
        <v>118</v>
      </c>
      <c r="G204" s="2" t="s">
        <v>19</v>
      </c>
      <c r="H204" s="3">
        <v>2</v>
      </c>
      <c r="I204" s="4">
        <v>89.99</v>
      </c>
      <c r="J204" s="2" t="s">
        <v>57</v>
      </c>
      <c r="K204" s="2" t="s">
        <v>35</v>
      </c>
      <c r="L204" s="2" t="s">
        <v>22</v>
      </c>
      <c r="M204" s="1">
        <v>44777</v>
      </c>
      <c r="N204" s="4">
        <f t="shared" si="19"/>
        <v>179.98</v>
      </c>
      <c r="O204" s="2">
        <f t="shared" ca="1" si="15"/>
        <v>4</v>
      </c>
      <c r="P204" s="13">
        <f t="shared" ca="1" si="16"/>
        <v>46305</v>
      </c>
      <c r="Q204" s="16">
        <f t="shared" ca="1" si="17"/>
        <v>0</v>
      </c>
      <c r="R204" s="1">
        <f t="shared" si="18"/>
        <v>44804</v>
      </c>
    </row>
    <row r="205" spans="1:18" x14ac:dyDescent="0.25">
      <c r="A205" s="2" t="s">
        <v>350</v>
      </c>
      <c r="B205" s="1">
        <v>45688</v>
      </c>
      <c r="C205" s="2" t="s">
        <v>42</v>
      </c>
      <c r="D205" s="2" t="s">
        <v>43</v>
      </c>
      <c r="E205" s="2" t="s">
        <v>117</v>
      </c>
      <c r="F205" s="2" t="s">
        <v>118</v>
      </c>
      <c r="G205" s="2" t="s">
        <v>19</v>
      </c>
      <c r="H205" s="3">
        <v>3</v>
      </c>
      <c r="I205" s="4">
        <v>89.99</v>
      </c>
      <c r="J205" s="2" t="s">
        <v>57</v>
      </c>
      <c r="K205" s="2" t="s">
        <v>35</v>
      </c>
      <c r="L205" s="2" t="s">
        <v>27</v>
      </c>
      <c r="M205" s="1">
        <v>45307</v>
      </c>
      <c r="N205" s="4">
        <f t="shared" si="19"/>
        <v>269.96999999999997</v>
      </c>
      <c r="O205" s="2">
        <f t="shared" ca="1" si="15"/>
        <v>2</v>
      </c>
      <c r="P205" s="13">
        <f t="shared" ca="1" si="16"/>
        <v>46305</v>
      </c>
      <c r="Q205" s="16">
        <f t="shared" ca="1" si="17"/>
        <v>0</v>
      </c>
      <c r="R205" s="1">
        <f t="shared" si="18"/>
        <v>45322</v>
      </c>
    </row>
    <row r="206" spans="1:18" x14ac:dyDescent="0.25">
      <c r="A206" s="2" t="s">
        <v>351</v>
      </c>
      <c r="B206" s="1">
        <v>45692</v>
      </c>
      <c r="C206" s="2" t="s">
        <v>325</v>
      </c>
      <c r="D206" s="2" t="s">
        <v>326</v>
      </c>
      <c r="E206" s="2" t="s">
        <v>31</v>
      </c>
      <c r="F206" s="2" t="s">
        <v>32</v>
      </c>
      <c r="G206" s="2" t="s">
        <v>33</v>
      </c>
      <c r="H206" s="3">
        <v>1</v>
      </c>
      <c r="I206" s="4">
        <v>59.99</v>
      </c>
      <c r="J206" s="2" t="s">
        <v>57</v>
      </c>
      <c r="K206" s="2" t="s">
        <v>21</v>
      </c>
      <c r="L206" s="2" t="s">
        <v>36</v>
      </c>
      <c r="M206" s="1">
        <v>45045</v>
      </c>
      <c r="N206" s="4">
        <f t="shared" si="19"/>
        <v>59.99</v>
      </c>
      <c r="O206" s="2">
        <f t="shared" ca="1" si="15"/>
        <v>3</v>
      </c>
      <c r="P206" s="13">
        <f t="shared" ca="1" si="16"/>
        <v>46305</v>
      </c>
      <c r="Q206" s="16">
        <f t="shared" ca="1" si="17"/>
        <v>0</v>
      </c>
      <c r="R206" s="1">
        <f t="shared" si="18"/>
        <v>45046</v>
      </c>
    </row>
    <row r="207" spans="1:18" x14ac:dyDescent="0.25">
      <c r="A207" s="2" t="s">
        <v>352</v>
      </c>
      <c r="B207" s="1">
        <v>45695</v>
      </c>
      <c r="C207" s="2" t="s">
        <v>246</v>
      </c>
      <c r="D207" s="2" t="s">
        <v>247</v>
      </c>
      <c r="E207" s="2" t="s">
        <v>44</v>
      </c>
      <c r="F207" s="2" t="s">
        <v>45</v>
      </c>
      <c r="G207" s="2" t="s">
        <v>46</v>
      </c>
      <c r="H207" s="3">
        <v>3</v>
      </c>
      <c r="I207" s="4">
        <v>149.99</v>
      </c>
      <c r="J207" s="2" t="s">
        <v>57</v>
      </c>
      <c r="K207" s="2" t="s">
        <v>40</v>
      </c>
      <c r="L207" s="2" t="s">
        <v>27</v>
      </c>
      <c r="M207" s="1">
        <v>44564</v>
      </c>
      <c r="N207" s="4">
        <f t="shared" si="19"/>
        <v>449.97</v>
      </c>
      <c r="O207" s="2">
        <f t="shared" ca="1" si="15"/>
        <v>4</v>
      </c>
      <c r="P207" s="13">
        <f t="shared" ca="1" si="16"/>
        <v>46305</v>
      </c>
      <c r="Q207" s="16">
        <f t="shared" ca="1" si="17"/>
        <v>0</v>
      </c>
      <c r="R207" s="1">
        <f t="shared" si="18"/>
        <v>44592</v>
      </c>
    </row>
    <row r="208" spans="1:18" x14ac:dyDescent="0.25">
      <c r="A208" s="2" t="s">
        <v>353</v>
      </c>
      <c r="B208" s="1">
        <v>45695</v>
      </c>
      <c r="C208" s="2" t="s">
        <v>93</v>
      </c>
      <c r="D208" s="2" t="s">
        <v>94</v>
      </c>
      <c r="E208" s="2" t="s">
        <v>105</v>
      </c>
      <c r="F208" s="2" t="s">
        <v>106</v>
      </c>
      <c r="G208" s="2" t="s">
        <v>46</v>
      </c>
      <c r="H208" s="3">
        <v>5</v>
      </c>
      <c r="I208" s="4">
        <v>299.99</v>
      </c>
      <c r="J208" s="2" t="s">
        <v>26</v>
      </c>
      <c r="K208" s="2" t="s">
        <v>35</v>
      </c>
      <c r="L208" s="2" t="s">
        <v>22</v>
      </c>
      <c r="M208" s="1">
        <v>44959</v>
      </c>
      <c r="N208" s="4">
        <f t="shared" si="19"/>
        <v>1499.95</v>
      </c>
      <c r="O208" s="2">
        <f t="shared" ca="1" si="15"/>
        <v>3</v>
      </c>
      <c r="P208" s="13">
        <f t="shared" ca="1" si="16"/>
        <v>46305</v>
      </c>
      <c r="Q208" s="16">
        <f t="shared" ca="1" si="17"/>
        <v>0</v>
      </c>
      <c r="R208" s="1">
        <f t="shared" si="18"/>
        <v>44985</v>
      </c>
    </row>
    <row r="209" spans="1:18" x14ac:dyDescent="0.25">
      <c r="A209" s="2" t="s">
        <v>354</v>
      </c>
      <c r="B209" s="1">
        <v>45696</v>
      </c>
      <c r="C209" s="2" t="s">
        <v>150</v>
      </c>
      <c r="D209" s="2" t="s">
        <v>151</v>
      </c>
      <c r="E209" s="2" t="s">
        <v>31</v>
      </c>
      <c r="F209" s="2" t="s">
        <v>32</v>
      </c>
      <c r="G209" s="2" t="s">
        <v>33</v>
      </c>
      <c r="H209" s="3">
        <v>5</v>
      </c>
      <c r="I209" s="4">
        <v>59.99</v>
      </c>
      <c r="J209" s="2" t="s">
        <v>57</v>
      </c>
      <c r="K209" s="2" t="s">
        <v>21</v>
      </c>
      <c r="L209" s="2" t="s">
        <v>36</v>
      </c>
      <c r="M209" s="1">
        <v>45177</v>
      </c>
      <c r="N209" s="4">
        <f t="shared" si="19"/>
        <v>299.95</v>
      </c>
      <c r="O209" s="2">
        <f t="shared" ca="1" si="15"/>
        <v>3</v>
      </c>
      <c r="P209" s="13">
        <f t="shared" ca="1" si="16"/>
        <v>46305</v>
      </c>
      <c r="Q209" s="16">
        <f t="shared" ca="1" si="17"/>
        <v>0</v>
      </c>
      <c r="R209" s="1">
        <f t="shared" si="18"/>
        <v>45199</v>
      </c>
    </row>
    <row r="210" spans="1:18" x14ac:dyDescent="0.25">
      <c r="A210" s="2" t="s">
        <v>355</v>
      </c>
      <c r="B210" s="1">
        <v>45701</v>
      </c>
      <c r="C210" s="2" t="s">
        <v>108</v>
      </c>
      <c r="D210" s="2" t="s">
        <v>109</v>
      </c>
      <c r="E210" s="2" t="s">
        <v>114</v>
      </c>
      <c r="F210" s="2" t="s">
        <v>115</v>
      </c>
      <c r="G210" s="2" t="s">
        <v>33</v>
      </c>
      <c r="H210" s="3">
        <v>3</v>
      </c>
      <c r="I210" s="4">
        <v>79.989999999999995</v>
      </c>
      <c r="J210" s="2" t="s">
        <v>20</v>
      </c>
      <c r="K210" s="2" t="s">
        <v>63</v>
      </c>
      <c r="L210" s="2" t="s">
        <v>27</v>
      </c>
      <c r="M210" s="1">
        <v>44436</v>
      </c>
      <c r="N210" s="4">
        <f t="shared" si="19"/>
        <v>239.96999999999997</v>
      </c>
      <c r="O210" s="2">
        <f t="shared" ca="1" si="15"/>
        <v>5</v>
      </c>
      <c r="P210" s="13">
        <f t="shared" ca="1" si="16"/>
        <v>46305</v>
      </c>
      <c r="Q210" s="16">
        <f t="shared" ca="1" si="17"/>
        <v>0</v>
      </c>
      <c r="R210" s="1">
        <f t="shared" si="18"/>
        <v>44439</v>
      </c>
    </row>
    <row r="211" spans="1:18" x14ac:dyDescent="0.25">
      <c r="A211" s="2" t="s">
        <v>356</v>
      </c>
      <c r="B211" s="1">
        <v>45704</v>
      </c>
      <c r="C211" s="2" t="s">
        <v>29</v>
      </c>
      <c r="D211" s="2" t="s">
        <v>30</v>
      </c>
      <c r="E211" s="2" t="s">
        <v>126</v>
      </c>
      <c r="F211" s="2" t="s">
        <v>127</v>
      </c>
      <c r="G211" s="2" t="s">
        <v>46</v>
      </c>
      <c r="H211" s="3">
        <v>3</v>
      </c>
      <c r="I211" s="4">
        <v>199.99</v>
      </c>
      <c r="J211" s="2" t="s">
        <v>20</v>
      </c>
      <c r="K211" s="2" t="s">
        <v>21</v>
      </c>
      <c r="L211" s="2" t="s">
        <v>22</v>
      </c>
      <c r="M211" s="1">
        <v>44735</v>
      </c>
      <c r="N211" s="4">
        <f t="shared" si="19"/>
        <v>599.97</v>
      </c>
      <c r="O211" s="2">
        <f t="shared" ca="1" si="15"/>
        <v>4</v>
      </c>
      <c r="P211" s="13">
        <f t="shared" ca="1" si="16"/>
        <v>46305</v>
      </c>
      <c r="Q211" s="16">
        <f t="shared" ca="1" si="17"/>
        <v>0</v>
      </c>
      <c r="R211" s="1">
        <f t="shared" si="18"/>
        <v>44742</v>
      </c>
    </row>
    <row r="212" spans="1:18" x14ac:dyDescent="0.25">
      <c r="A212" s="2" t="s">
        <v>357</v>
      </c>
      <c r="B212" s="1">
        <v>45704</v>
      </c>
      <c r="C212" s="2" t="s">
        <v>15</v>
      </c>
      <c r="D212" s="2" t="s">
        <v>16</v>
      </c>
      <c r="E212" s="2" t="s">
        <v>117</v>
      </c>
      <c r="F212" s="2" t="s">
        <v>118</v>
      </c>
      <c r="G212" s="2" t="s">
        <v>19</v>
      </c>
      <c r="H212" s="3">
        <v>2</v>
      </c>
      <c r="I212" s="4">
        <v>89.99</v>
      </c>
      <c r="J212" s="2" t="s">
        <v>34</v>
      </c>
      <c r="K212" s="2" t="s">
        <v>21</v>
      </c>
      <c r="L212" s="2" t="s">
        <v>22</v>
      </c>
      <c r="M212" s="1">
        <v>45257</v>
      </c>
      <c r="N212" s="4">
        <f t="shared" si="19"/>
        <v>179.98</v>
      </c>
      <c r="O212" s="2">
        <f t="shared" ca="1" si="15"/>
        <v>2</v>
      </c>
      <c r="P212" s="13">
        <f t="shared" ca="1" si="16"/>
        <v>46305</v>
      </c>
      <c r="Q212" s="16">
        <f t="shared" ca="1" si="17"/>
        <v>0</v>
      </c>
      <c r="R212" s="1">
        <f t="shared" si="18"/>
        <v>45260</v>
      </c>
    </row>
    <row r="213" spans="1:18" x14ac:dyDescent="0.25">
      <c r="A213" s="2" t="s">
        <v>358</v>
      </c>
      <c r="B213" s="1">
        <v>45705</v>
      </c>
      <c r="C213" s="2" t="s">
        <v>259</v>
      </c>
      <c r="D213" s="2" t="s">
        <v>260</v>
      </c>
      <c r="E213" s="2" t="s">
        <v>44</v>
      </c>
      <c r="F213" s="2" t="s">
        <v>45</v>
      </c>
      <c r="G213" s="2" t="s">
        <v>46</v>
      </c>
      <c r="H213" s="3">
        <v>2</v>
      </c>
      <c r="I213" s="4">
        <v>149.99</v>
      </c>
      <c r="J213" s="2" t="s">
        <v>20</v>
      </c>
      <c r="K213" s="2" t="s">
        <v>35</v>
      </c>
      <c r="L213" s="2" t="s">
        <v>27</v>
      </c>
      <c r="M213" s="1">
        <v>44728</v>
      </c>
      <c r="N213" s="4">
        <f t="shared" si="19"/>
        <v>299.98</v>
      </c>
      <c r="O213" s="2">
        <f t="shared" ca="1" si="15"/>
        <v>4</v>
      </c>
      <c r="P213" s="13">
        <f t="shared" ca="1" si="16"/>
        <v>46305</v>
      </c>
      <c r="Q213" s="16">
        <f t="shared" ca="1" si="17"/>
        <v>0</v>
      </c>
      <c r="R213" s="1">
        <f t="shared" si="18"/>
        <v>44742</v>
      </c>
    </row>
    <row r="214" spans="1:18" x14ac:dyDescent="0.25">
      <c r="A214" s="2" t="s">
        <v>359</v>
      </c>
      <c r="B214" s="1">
        <v>45707</v>
      </c>
      <c r="C214" s="2" t="s">
        <v>123</v>
      </c>
      <c r="D214" s="2" t="s">
        <v>124</v>
      </c>
      <c r="E214" s="2" t="s">
        <v>80</v>
      </c>
      <c r="F214" s="2" t="s">
        <v>81</v>
      </c>
      <c r="G214" s="2" t="s">
        <v>19</v>
      </c>
      <c r="H214" s="3">
        <v>5</v>
      </c>
      <c r="I214" s="4">
        <v>699.99</v>
      </c>
      <c r="J214" s="2" t="s">
        <v>34</v>
      </c>
      <c r="K214" s="2" t="s">
        <v>35</v>
      </c>
      <c r="L214" s="2" t="s">
        <v>27</v>
      </c>
      <c r="M214" s="1">
        <v>45352</v>
      </c>
      <c r="N214" s="4">
        <f t="shared" si="19"/>
        <v>3499.95</v>
      </c>
      <c r="O214" s="2">
        <f t="shared" ca="1" si="15"/>
        <v>2</v>
      </c>
      <c r="P214" s="13">
        <f t="shared" ca="1" si="16"/>
        <v>46305</v>
      </c>
      <c r="Q214" s="16">
        <f t="shared" ca="1" si="17"/>
        <v>0</v>
      </c>
      <c r="R214" s="1">
        <f t="shared" si="18"/>
        <v>45382</v>
      </c>
    </row>
    <row r="215" spans="1:18" x14ac:dyDescent="0.25">
      <c r="A215" s="2" t="s">
        <v>360</v>
      </c>
      <c r="B215" s="1">
        <v>45707</v>
      </c>
      <c r="C215" s="2" t="s">
        <v>42</v>
      </c>
      <c r="D215" s="2" t="s">
        <v>43</v>
      </c>
      <c r="E215" s="2" t="s">
        <v>44</v>
      </c>
      <c r="F215" s="2" t="s">
        <v>45</v>
      </c>
      <c r="G215" s="2" t="s">
        <v>46</v>
      </c>
      <c r="H215" s="3">
        <v>3</v>
      </c>
      <c r="I215" s="4">
        <v>149.99</v>
      </c>
      <c r="J215" s="2" t="s">
        <v>34</v>
      </c>
      <c r="K215" s="2" t="s">
        <v>21</v>
      </c>
      <c r="L215" s="2" t="s">
        <v>36</v>
      </c>
      <c r="M215" s="1">
        <v>44633</v>
      </c>
      <c r="N215" s="4">
        <f t="shared" si="19"/>
        <v>449.97</v>
      </c>
      <c r="O215" s="2">
        <f t="shared" ca="1" si="15"/>
        <v>4</v>
      </c>
      <c r="P215" s="13">
        <f t="shared" ca="1" si="16"/>
        <v>46305</v>
      </c>
      <c r="Q215" s="16">
        <f t="shared" ca="1" si="17"/>
        <v>0</v>
      </c>
      <c r="R215" s="1">
        <f t="shared" si="18"/>
        <v>44651</v>
      </c>
    </row>
    <row r="216" spans="1:18" x14ac:dyDescent="0.25">
      <c r="A216" s="2" t="s">
        <v>361</v>
      </c>
      <c r="B216" s="1">
        <v>45708</v>
      </c>
      <c r="C216" s="2" t="s">
        <v>96</v>
      </c>
      <c r="D216" s="2" t="s">
        <v>97</v>
      </c>
      <c r="E216" s="2" t="s">
        <v>61</v>
      </c>
      <c r="F216" s="2" t="s">
        <v>62</v>
      </c>
      <c r="G216" s="2" t="s">
        <v>19</v>
      </c>
      <c r="H216" s="3">
        <v>3</v>
      </c>
      <c r="I216" s="4">
        <v>899.99</v>
      </c>
      <c r="J216" s="2" t="s">
        <v>20</v>
      </c>
      <c r="K216" s="2" t="s">
        <v>63</v>
      </c>
      <c r="L216" s="2" t="s">
        <v>36</v>
      </c>
      <c r="M216" s="1">
        <v>44613</v>
      </c>
      <c r="N216" s="4">
        <f t="shared" si="19"/>
        <v>2699.9700000000003</v>
      </c>
      <c r="O216" s="2">
        <f t="shared" ca="1" si="15"/>
        <v>4</v>
      </c>
      <c r="P216" s="13">
        <f t="shared" ca="1" si="16"/>
        <v>46305</v>
      </c>
      <c r="Q216" s="16">
        <f t="shared" ca="1" si="17"/>
        <v>0</v>
      </c>
      <c r="R216" s="1">
        <f t="shared" si="18"/>
        <v>44620</v>
      </c>
    </row>
    <row r="217" spans="1:18" x14ac:dyDescent="0.25">
      <c r="A217" s="2" t="s">
        <v>362</v>
      </c>
      <c r="B217" s="1">
        <v>45708</v>
      </c>
      <c r="C217" s="2" t="s">
        <v>192</v>
      </c>
      <c r="D217" s="2" t="s">
        <v>193</v>
      </c>
      <c r="E217" s="2" t="s">
        <v>126</v>
      </c>
      <c r="F217" s="2" t="s">
        <v>127</v>
      </c>
      <c r="G217" s="2" t="s">
        <v>46</v>
      </c>
      <c r="H217" s="3">
        <v>3</v>
      </c>
      <c r="I217" s="4">
        <v>199.99</v>
      </c>
      <c r="J217" s="2" t="s">
        <v>20</v>
      </c>
      <c r="K217" s="2" t="s">
        <v>50</v>
      </c>
      <c r="L217" s="2" t="s">
        <v>27</v>
      </c>
      <c r="M217" s="1">
        <v>44823</v>
      </c>
      <c r="N217" s="4">
        <f t="shared" si="19"/>
        <v>599.97</v>
      </c>
      <c r="O217" s="2">
        <f t="shared" ca="1" si="15"/>
        <v>4</v>
      </c>
      <c r="P217" s="13">
        <f t="shared" ca="1" si="16"/>
        <v>46305</v>
      </c>
      <c r="Q217" s="16">
        <f t="shared" ca="1" si="17"/>
        <v>0</v>
      </c>
      <c r="R217" s="1">
        <f t="shared" si="18"/>
        <v>44834</v>
      </c>
    </row>
    <row r="218" spans="1:18" x14ac:dyDescent="0.25">
      <c r="A218" s="2" t="s">
        <v>363</v>
      </c>
      <c r="B218" s="1">
        <v>45710</v>
      </c>
      <c r="C218" s="2" t="s">
        <v>55</v>
      </c>
      <c r="D218" s="2" t="s">
        <v>56</v>
      </c>
      <c r="E218" s="2" t="s">
        <v>105</v>
      </c>
      <c r="F218" s="2" t="s">
        <v>106</v>
      </c>
      <c r="G218" s="2" t="s">
        <v>46</v>
      </c>
      <c r="H218" s="3">
        <v>5</v>
      </c>
      <c r="I218" s="4">
        <v>299.99</v>
      </c>
      <c r="J218" s="2" t="s">
        <v>20</v>
      </c>
      <c r="K218" s="2" t="s">
        <v>50</v>
      </c>
      <c r="L218" s="2" t="s">
        <v>36</v>
      </c>
      <c r="M218" s="1">
        <v>45142</v>
      </c>
      <c r="N218" s="4">
        <f t="shared" si="19"/>
        <v>1499.95</v>
      </c>
      <c r="O218" s="2">
        <f t="shared" ca="1" si="15"/>
        <v>3</v>
      </c>
      <c r="P218" s="13">
        <f t="shared" ca="1" si="16"/>
        <v>46305</v>
      </c>
      <c r="Q218" s="16">
        <f t="shared" ca="1" si="17"/>
        <v>0</v>
      </c>
      <c r="R218" s="1">
        <f t="shared" si="18"/>
        <v>45169</v>
      </c>
    </row>
    <row r="219" spans="1:18" x14ac:dyDescent="0.25">
      <c r="A219" s="2" t="s">
        <v>364</v>
      </c>
      <c r="B219" s="1">
        <v>45710</v>
      </c>
      <c r="C219" s="2" t="s">
        <v>150</v>
      </c>
      <c r="D219" s="2" t="s">
        <v>151</v>
      </c>
      <c r="E219" s="2" t="s">
        <v>80</v>
      </c>
      <c r="F219" s="2" t="s">
        <v>81</v>
      </c>
      <c r="G219" s="2" t="s">
        <v>19</v>
      </c>
      <c r="H219" s="3">
        <v>1</v>
      </c>
      <c r="I219" s="4">
        <v>699.99</v>
      </c>
      <c r="J219" s="2" t="s">
        <v>34</v>
      </c>
      <c r="K219" s="2" t="s">
        <v>50</v>
      </c>
      <c r="L219" s="2" t="s">
        <v>22</v>
      </c>
      <c r="M219" s="1">
        <v>44934</v>
      </c>
      <c r="N219" s="4">
        <f t="shared" si="19"/>
        <v>699.99</v>
      </c>
      <c r="O219" s="2">
        <f t="shared" ca="1" si="15"/>
        <v>3</v>
      </c>
      <c r="P219" s="13">
        <f t="shared" ca="1" si="16"/>
        <v>46305</v>
      </c>
      <c r="Q219" s="16">
        <f t="shared" ca="1" si="17"/>
        <v>0</v>
      </c>
      <c r="R219" s="1">
        <f t="shared" si="18"/>
        <v>44957</v>
      </c>
    </row>
    <row r="220" spans="1:18" x14ac:dyDescent="0.25">
      <c r="A220" s="2" t="s">
        <v>365</v>
      </c>
      <c r="B220" s="1">
        <v>45711</v>
      </c>
      <c r="C220" s="2" t="s">
        <v>246</v>
      </c>
      <c r="D220" s="2" t="s">
        <v>247</v>
      </c>
      <c r="E220" s="2" t="s">
        <v>80</v>
      </c>
      <c r="F220" s="2" t="s">
        <v>81</v>
      </c>
      <c r="G220" s="2" t="s">
        <v>19</v>
      </c>
      <c r="H220" s="3">
        <v>1</v>
      </c>
      <c r="I220" s="4">
        <v>699.99</v>
      </c>
      <c r="J220" s="2" t="s">
        <v>20</v>
      </c>
      <c r="K220" s="2" t="s">
        <v>40</v>
      </c>
      <c r="L220" s="2" t="s">
        <v>27</v>
      </c>
      <c r="M220" s="1">
        <v>44583</v>
      </c>
      <c r="N220" s="4">
        <f t="shared" si="19"/>
        <v>699.99</v>
      </c>
      <c r="O220" s="2">
        <f t="shared" ca="1" si="15"/>
        <v>4</v>
      </c>
      <c r="P220" s="13">
        <f t="shared" ca="1" si="16"/>
        <v>46305</v>
      </c>
      <c r="Q220" s="16">
        <f t="shared" ca="1" si="17"/>
        <v>0</v>
      </c>
      <c r="R220" s="1">
        <f t="shared" si="18"/>
        <v>44592</v>
      </c>
    </row>
    <row r="221" spans="1:18" x14ac:dyDescent="0.25">
      <c r="A221" s="2" t="s">
        <v>366</v>
      </c>
      <c r="B221" s="1">
        <v>45711</v>
      </c>
      <c r="C221" s="2" t="s">
        <v>325</v>
      </c>
      <c r="D221" s="2" t="s">
        <v>326</v>
      </c>
      <c r="E221" s="2" t="s">
        <v>44</v>
      </c>
      <c r="F221" s="2" t="s">
        <v>45</v>
      </c>
      <c r="G221" s="2" t="s">
        <v>46</v>
      </c>
      <c r="H221" s="3">
        <v>4</v>
      </c>
      <c r="I221" s="4">
        <v>149.99</v>
      </c>
      <c r="J221" s="2" t="s">
        <v>34</v>
      </c>
      <c r="K221" s="2" t="s">
        <v>40</v>
      </c>
      <c r="L221" s="2" t="s">
        <v>27</v>
      </c>
      <c r="M221" s="1">
        <v>44412</v>
      </c>
      <c r="N221" s="4">
        <f t="shared" si="19"/>
        <v>599.96</v>
      </c>
      <c r="O221" s="2">
        <f t="shared" ca="1" si="15"/>
        <v>5</v>
      </c>
      <c r="P221" s="13">
        <f t="shared" ca="1" si="16"/>
        <v>46305</v>
      </c>
      <c r="Q221" s="16">
        <f t="shared" ca="1" si="17"/>
        <v>0</v>
      </c>
      <c r="R221" s="1">
        <f t="shared" si="18"/>
        <v>44439</v>
      </c>
    </row>
    <row r="222" spans="1:18" x14ac:dyDescent="0.25">
      <c r="A222" s="2" t="s">
        <v>367</v>
      </c>
      <c r="B222" s="1">
        <v>45711</v>
      </c>
      <c r="C222" s="2" t="s">
        <v>211</v>
      </c>
      <c r="D222" s="2" t="s">
        <v>212</v>
      </c>
      <c r="E222" s="2" t="s">
        <v>117</v>
      </c>
      <c r="F222" s="2" t="s">
        <v>118</v>
      </c>
      <c r="G222" s="2" t="s">
        <v>19</v>
      </c>
      <c r="H222" s="3">
        <v>5</v>
      </c>
      <c r="I222" s="4">
        <v>89.99</v>
      </c>
      <c r="J222" s="2" t="s">
        <v>34</v>
      </c>
      <c r="K222" s="2" t="s">
        <v>50</v>
      </c>
      <c r="L222" s="2" t="s">
        <v>27</v>
      </c>
      <c r="M222" s="1">
        <v>45140</v>
      </c>
      <c r="N222" s="4">
        <f t="shared" si="19"/>
        <v>449.95</v>
      </c>
      <c r="O222" s="2">
        <f t="shared" ca="1" si="15"/>
        <v>3</v>
      </c>
      <c r="P222" s="13">
        <f t="shared" ca="1" si="16"/>
        <v>46305</v>
      </c>
      <c r="Q222" s="16">
        <f t="shared" ca="1" si="17"/>
        <v>0</v>
      </c>
      <c r="R222" s="1">
        <f t="shared" si="18"/>
        <v>45169</v>
      </c>
    </row>
    <row r="223" spans="1:18" x14ac:dyDescent="0.25">
      <c r="A223" s="2" t="s">
        <v>368</v>
      </c>
      <c r="B223" s="1">
        <v>45712</v>
      </c>
      <c r="C223" s="2" t="s">
        <v>138</v>
      </c>
      <c r="D223" s="2" t="s">
        <v>139</v>
      </c>
      <c r="E223" s="2" t="s">
        <v>126</v>
      </c>
      <c r="F223" s="2" t="s">
        <v>127</v>
      </c>
      <c r="G223" s="2" t="s">
        <v>46</v>
      </c>
      <c r="H223" s="3">
        <v>2</v>
      </c>
      <c r="I223" s="4">
        <v>199.99</v>
      </c>
      <c r="J223" s="2" t="s">
        <v>20</v>
      </c>
      <c r="K223" s="2" t="s">
        <v>21</v>
      </c>
      <c r="L223" s="2" t="s">
        <v>27</v>
      </c>
      <c r="M223" s="1">
        <v>44573</v>
      </c>
      <c r="N223" s="4">
        <f t="shared" si="19"/>
        <v>399.98</v>
      </c>
      <c r="O223" s="2">
        <f t="shared" ca="1" si="15"/>
        <v>4</v>
      </c>
      <c r="P223" s="13">
        <f t="shared" ca="1" si="16"/>
        <v>46305</v>
      </c>
      <c r="Q223" s="16">
        <f t="shared" ca="1" si="17"/>
        <v>0</v>
      </c>
      <c r="R223" s="1">
        <f t="shared" si="18"/>
        <v>44592</v>
      </c>
    </row>
    <row r="224" spans="1:18" x14ac:dyDescent="0.25">
      <c r="A224" s="2" t="s">
        <v>369</v>
      </c>
      <c r="B224" s="1">
        <v>45715</v>
      </c>
      <c r="C224" s="2" t="s">
        <v>259</v>
      </c>
      <c r="D224" s="2" t="s">
        <v>260</v>
      </c>
      <c r="E224" s="2" t="s">
        <v>31</v>
      </c>
      <c r="F224" s="2" t="s">
        <v>32</v>
      </c>
      <c r="G224" s="2" t="s">
        <v>33</v>
      </c>
      <c r="H224" s="3">
        <v>4</v>
      </c>
      <c r="I224" s="4">
        <v>59.99</v>
      </c>
      <c r="J224" s="2" t="s">
        <v>20</v>
      </c>
      <c r="K224" s="2" t="s">
        <v>50</v>
      </c>
      <c r="L224" s="2" t="s">
        <v>36</v>
      </c>
      <c r="M224" s="1">
        <v>45070</v>
      </c>
      <c r="N224" s="4">
        <f t="shared" si="19"/>
        <v>239.96</v>
      </c>
      <c r="O224" s="2">
        <f t="shared" ca="1" si="15"/>
        <v>3</v>
      </c>
      <c r="P224" s="13">
        <f t="shared" ca="1" si="16"/>
        <v>46305</v>
      </c>
      <c r="Q224" s="16">
        <f t="shared" ca="1" si="17"/>
        <v>0</v>
      </c>
      <c r="R224" s="1">
        <f t="shared" si="18"/>
        <v>45077</v>
      </c>
    </row>
    <row r="225" spans="1:18" x14ac:dyDescent="0.25">
      <c r="A225" s="2" t="s">
        <v>370</v>
      </c>
      <c r="B225" s="1">
        <v>45715</v>
      </c>
      <c r="C225" s="2" t="s">
        <v>93</v>
      </c>
      <c r="D225" s="2" t="s">
        <v>94</v>
      </c>
      <c r="E225" s="2" t="s">
        <v>105</v>
      </c>
      <c r="F225" s="2" t="s">
        <v>106</v>
      </c>
      <c r="G225" s="2" t="s">
        <v>46</v>
      </c>
      <c r="H225" s="3">
        <v>2</v>
      </c>
      <c r="I225" s="4">
        <v>299.99</v>
      </c>
      <c r="J225" s="2" t="s">
        <v>34</v>
      </c>
      <c r="K225" s="2" t="s">
        <v>35</v>
      </c>
      <c r="L225" s="2" t="s">
        <v>22</v>
      </c>
      <c r="M225" s="1">
        <v>44576</v>
      </c>
      <c r="N225" s="4">
        <f t="shared" si="19"/>
        <v>599.98</v>
      </c>
      <c r="O225" s="2">
        <f t="shared" ca="1" si="15"/>
        <v>4</v>
      </c>
      <c r="P225" s="13">
        <f t="shared" ca="1" si="16"/>
        <v>46305</v>
      </c>
      <c r="Q225" s="16">
        <f t="shared" ca="1" si="17"/>
        <v>0</v>
      </c>
      <c r="R225" s="1">
        <f t="shared" si="18"/>
        <v>44592</v>
      </c>
    </row>
    <row r="226" spans="1:18" x14ac:dyDescent="0.25">
      <c r="A226" s="2" t="s">
        <v>371</v>
      </c>
      <c r="B226" s="1">
        <v>45718</v>
      </c>
      <c r="C226" s="2" t="s">
        <v>55</v>
      </c>
      <c r="D226" s="2" t="s">
        <v>56</v>
      </c>
      <c r="E226" s="2" t="s">
        <v>44</v>
      </c>
      <c r="F226" s="2" t="s">
        <v>45</v>
      </c>
      <c r="G226" s="2" t="s">
        <v>46</v>
      </c>
      <c r="H226" s="3">
        <v>2</v>
      </c>
      <c r="I226" s="4">
        <v>149.99</v>
      </c>
      <c r="J226" s="2" t="s">
        <v>20</v>
      </c>
      <c r="K226" s="2" t="s">
        <v>21</v>
      </c>
      <c r="L226" s="2" t="s">
        <v>22</v>
      </c>
      <c r="M226" s="1">
        <v>45068</v>
      </c>
      <c r="N226" s="4">
        <f t="shared" si="19"/>
        <v>299.98</v>
      </c>
      <c r="O226" s="2">
        <f t="shared" ca="1" si="15"/>
        <v>3</v>
      </c>
      <c r="P226" s="13">
        <f t="shared" ca="1" si="16"/>
        <v>46305</v>
      </c>
      <c r="Q226" s="16">
        <f t="shared" ca="1" si="17"/>
        <v>0</v>
      </c>
      <c r="R226" s="1">
        <f t="shared" si="18"/>
        <v>45077</v>
      </c>
    </row>
    <row r="227" spans="1:18" x14ac:dyDescent="0.25">
      <c r="A227" s="2" t="s">
        <v>372</v>
      </c>
      <c r="B227" s="1">
        <v>45720</v>
      </c>
      <c r="C227" s="2" t="s">
        <v>226</v>
      </c>
      <c r="D227" s="2" t="s">
        <v>227</v>
      </c>
      <c r="E227" s="2" t="s">
        <v>80</v>
      </c>
      <c r="F227" s="2" t="s">
        <v>81</v>
      </c>
      <c r="G227" s="2" t="s">
        <v>19</v>
      </c>
      <c r="H227" s="3">
        <v>5</v>
      </c>
      <c r="I227" s="4">
        <v>699.99</v>
      </c>
      <c r="J227" s="2" t="s">
        <v>57</v>
      </c>
      <c r="K227" s="2" t="s">
        <v>63</v>
      </c>
      <c r="L227" s="2" t="s">
        <v>27</v>
      </c>
      <c r="M227" s="1">
        <v>45161</v>
      </c>
      <c r="N227" s="4">
        <f t="shared" si="19"/>
        <v>3499.95</v>
      </c>
      <c r="O227" s="2">
        <f t="shared" ca="1" si="15"/>
        <v>3</v>
      </c>
      <c r="P227" s="13">
        <f t="shared" ca="1" si="16"/>
        <v>46305</v>
      </c>
      <c r="Q227" s="16">
        <f t="shared" ca="1" si="17"/>
        <v>0</v>
      </c>
      <c r="R227" s="1">
        <f t="shared" si="18"/>
        <v>45169</v>
      </c>
    </row>
    <row r="228" spans="1:18" x14ac:dyDescent="0.25">
      <c r="A228" s="2" t="s">
        <v>373</v>
      </c>
      <c r="B228" s="1">
        <v>45721</v>
      </c>
      <c r="C228" s="2" t="s">
        <v>75</v>
      </c>
      <c r="D228" s="2" t="s">
        <v>76</v>
      </c>
      <c r="E228" s="2" t="s">
        <v>31</v>
      </c>
      <c r="F228" s="2" t="s">
        <v>32</v>
      </c>
      <c r="G228" s="2" t="s">
        <v>33</v>
      </c>
      <c r="H228" s="3">
        <v>5</v>
      </c>
      <c r="I228" s="4">
        <v>59.99</v>
      </c>
      <c r="J228" s="2" t="s">
        <v>20</v>
      </c>
      <c r="K228" s="2" t="s">
        <v>50</v>
      </c>
      <c r="L228" s="2" t="s">
        <v>27</v>
      </c>
      <c r="M228" s="1">
        <v>45291</v>
      </c>
      <c r="N228" s="4">
        <f t="shared" si="19"/>
        <v>299.95</v>
      </c>
      <c r="O228" s="2">
        <f t="shared" ca="1" si="15"/>
        <v>2</v>
      </c>
      <c r="P228" s="13">
        <f t="shared" ca="1" si="16"/>
        <v>46305</v>
      </c>
      <c r="Q228" s="16">
        <f t="shared" ca="1" si="17"/>
        <v>0</v>
      </c>
      <c r="R228" s="1">
        <f t="shared" si="18"/>
        <v>45291</v>
      </c>
    </row>
    <row r="229" spans="1:18" x14ac:dyDescent="0.25">
      <c r="A229" s="2" t="s">
        <v>374</v>
      </c>
      <c r="B229" s="1">
        <v>45723</v>
      </c>
      <c r="C229" s="2" t="s">
        <v>15</v>
      </c>
      <c r="D229" s="2" t="s">
        <v>16</v>
      </c>
      <c r="E229" s="2" t="s">
        <v>117</v>
      </c>
      <c r="F229" s="2" t="s">
        <v>118</v>
      </c>
      <c r="G229" s="2" t="s">
        <v>19</v>
      </c>
      <c r="H229" s="3">
        <v>2</v>
      </c>
      <c r="I229" s="4">
        <v>89.99</v>
      </c>
      <c r="J229" s="2" t="s">
        <v>26</v>
      </c>
      <c r="K229" s="2" t="s">
        <v>50</v>
      </c>
      <c r="L229" s="2" t="s">
        <v>27</v>
      </c>
      <c r="M229" s="1">
        <v>45295</v>
      </c>
      <c r="N229" s="4">
        <f t="shared" si="19"/>
        <v>179.98</v>
      </c>
      <c r="O229" s="2">
        <f t="shared" ca="1" si="15"/>
        <v>2</v>
      </c>
      <c r="P229" s="13">
        <f t="shared" ca="1" si="16"/>
        <v>46305</v>
      </c>
      <c r="Q229" s="16">
        <f t="shared" ca="1" si="17"/>
        <v>0</v>
      </c>
      <c r="R229" s="1">
        <f t="shared" si="18"/>
        <v>45322</v>
      </c>
    </row>
    <row r="230" spans="1:18" x14ac:dyDescent="0.25">
      <c r="A230" s="2" t="s">
        <v>375</v>
      </c>
      <c r="B230" s="1">
        <v>45723</v>
      </c>
      <c r="C230" s="2" t="s">
        <v>120</v>
      </c>
      <c r="D230" s="2" t="s">
        <v>121</v>
      </c>
      <c r="E230" s="2" t="s">
        <v>17</v>
      </c>
      <c r="F230" s="2" t="s">
        <v>18</v>
      </c>
      <c r="G230" s="2" t="s">
        <v>19</v>
      </c>
      <c r="H230" s="3">
        <v>5</v>
      </c>
      <c r="I230" s="4">
        <v>249.99</v>
      </c>
      <c r="J230" s="2" t="s">
        <v>20</v>
      </c>
      <c r="K230" s="2" t="s">
        <v>63</v>
      </c>
      <c r="L230" s="2" t="s">
        <v>36</v>
      </c>
      <c r="M230" s="1">
        <v>44540</v>
      </c>
      <c r="N230" s="4">
        <f t="shared" si="19"/>
        <v>1249.95</v>
      </c>
      <c r="O230" s="2">
        <f t="shared" ca="1" si="15"/>
        <v>4</v>
      </c>
      <c r="P230" s="13">
        <f t="shared" ca="1" si="16"/>
        <v>46305</v>
      </c>
      <c r="Q230" s="16">
        <f t="shared" ca="1" si="17"/>
        <v>0</v>
      </c>
      <c r="R230" s="1">
        <f t="shared" si="18"/>
        <v>44561</v>
      </c>
    </row>
    <row r="231" spans="1:18" x14ac:dyDescent="0.25">
      <c r="A231" s="2" t="s">
        <v>376</v>
      </c>
      <c r="B231" s="1">
        <v>45724</v>
      </c>
      <c r="C231" s="2" t="s">
        <v>226</v>
      </c>
      <c r="D231" s="2" t="s">
        <v>227</v>
      </c>
      <c r="E231" s="2" t="s">
        <v>44</v>
      </c>
      <c r="F231" s="2" t="s">
        <v>45</v>
      </c>
      <c r="G231" s="2" t="s">
        <v>46</v>
      </c>
      <c r="H231" s="3">
        <v>2</v>
      </c>
      <c r="I231" s="4">
        <v>149.99</v>
      </c>
      <c r="J231" s="2" t="s">
        <v>34</v>
      </c>
      <c r="K231" s="2" t="s">
        <v>21</v>
      </c>
      <c r="L231" s="2" t="s">
        <v>27</v>
      </c>
      <c r="M231" s="1">
        <v>44632</v>
      </c>
      <c r="N231" s="4">
        <f t="shared" si="19"/>
        <v>299.98</v>
      </c>
      <c r="O231" s="2">
        <f t="shared" ca="1" si="15"/>
        <v>4</v>
      </c>
      <c r="P231" s="13">
        <f t="shared" ca="1" si="16"/>
        <v>46305</v>
      </c>
      <c r="Q231" s="16">
        <f t="shared" ca="1" si="17"/>
        <v>0</v>
      </c>
      <c r="R231" s="1">
        <f t="shared" si="18"/>
        <v>44651</v>
      </c>
    </row>
    <row r="232" spans="1:18" x14ac:dyDescent="0.25">
      <c r="A232" s="2" t="s">
        <v>377</v>
      </c>
      <c r="B232" s="1">
        <v>45724</v>
      </c>
      <c r="C232" s="2" t="s">
        <v>144</v>
      </c>
      <c r="D232" s="2" t="s">
        <v>145</v>
      </c>
      <c r="E232" s="2" t="s">
        <v>61</v>
      </c>
      <c r="F232" s="2" t="s">
        <v>62</v>
      </c>
      <c r="G232" s="2" t="s">
        <v>19</v>
      </c>
      <c r="H232" s="3">
        <v>5</v>
      </c>
      <c r="I232" s="4">
        <v>899.99</v>
      </c>
      <c r="J232" s="2" t="s">
        <v>34</v>
      </c>
      <c r="K232" s="2" t="s">
        <v>63</v>
      </c>
      <c r="L232" s="2" t="s">
        <v>27</v>
      </c>
      <c r="M232" s="1">
        <v>45389</v>
      </c>
      <c r="N232" s="4">
        <f t="shared" si="19"/>
        <v>4499.95</v>
      </c>
      <c r="O232" s="2">
        <f t="shared" ca="1" si="15"/>
        <v>2</v>
      </c>
      <c r="P232" s="13">
        <f t="shared" ca="1" si="16"/>
        <v>46305</v>
      </c>
      <c r="Q232" s="16">
        <f t="shared" ca="1" si="17"/>
        <v>0</v>
      </c>
      <c r="R232" s="1">
        <f t="shared" si="18"/>
        <v>45412</v>
      </c>
    </row>
    <row r="233" spans="1:18" x14ac:dyDescent="0.25">
      <c r="A233" s="2" t="s">
        <v>378</v>
      </c>
      <c r="B233" s="1">
        <v>45724</v>
      </c>
      <c r="C233" s="2" t="s">
        <v>55</v>
      </c>
      <c r="D233" s="2" t="s">
        <v>56</v>
      </c>
      <c r="E233" s="2" t="s">
        <v>44</v>
      </c>
      <c r="F233" s="2" t="s">
        <v>45</v>
      </c>
      <c r="G233" s="2" t="s">
        <v>46</v>
      </c>
      <c r="H233" s="3">
        <v>4</v>
      </c>
      <c r="I233" s="4">
        <v>149.99</v>
      </c>
      <c r="J233" s="2" t="s">
        <v>20</v>
      </c>
      <c r="K233" s="2" t="s">
        <v>21</v>
      </c>
      <c r="L233" s="2" t="s">
        <v>36</v>
      </c>
      <c r="M233" s="1">
        <v>45263</v>
      </c>
      <c r="N233" s="4">
        <f t="shared" si="19"/>
        <v>599.96</v>
      </c>
      <c r="O233" s="2">
        <f t="shared" ca="1" si="15"/>
        <v>2</v>
      </c>
      <c r="P233" s="13">
        <f t="shared" ca="1" si="16"/>
        <v>46305</v>
      </c>
      <c r="Q233" s="16">
        <f t="shared" ca="1" si="17"/>
        <v>0</v>
      </c>
      <c r="R233" s="1">
        <f t="shared" si="18"/>
        <v>45291</v>
      </c>
    </row>
    <row r="234" spans="1:18" x14ac:dyDescent="0.25">
      <c r="A234" s="2" t="s">
        <v>379</v>
      </c>
      <c r="B234" s="1">
        <v>45726</v>
      </c>
      <c r="C234" s="2" t="s">
        <v>144</v>
      </c>
      <c r="D234" s="2" t="s">
        <v>145</v>
      </c>
      <c r="E234" s="2" t="s">
        <v>17</v>
      </c>
      <c r="F234" s="2" t="s">
        <v>18</v>
      </c>
      <c r="G234" s="2" t="s">
        <v>19</v>
      </c>
      <c r="H234" s="3">
        <v>1</v>
      </c>
      <c r="I234" s="4">
        <v>249.99</v>
      </c>
      <c r="J234" s="2" t="s">
        <v>20</v>
      </c>
      <c r="K234" s="2" t="s">
        <v>40</v>
      </c>
      <c r="L234" s="2" t="s">
        <v>36</v>
      </c>
      <c r="M234" s="1">
        <v>45117</v>
      </c>
      <c r="N234" s="4">
        <f t="shared" si="19"/>
        <v>249.99</v>
      </c>
      <c r="O234" s="2">
        <f t="shared" ca="1" si="15"/>
        <v>3</v>
      </c>
      <c r="P234" s="13">
        <f t="shared" ca="1" si="16"/>
        <v>46305</v>
      </c>
      <c r="Q234" s="16">
        <f t="shared" ca="1" si="17"/>
        <v>0</v>
      </c>
      <c r="R234" s="1">
        <f t="shared" si="18"/>
        <v>45138</v>
      </c>
    </row>
    <row r="235" spans="1:18" x14ac:dyDescent="0.25">
      <c r="A235" s="2" t="s">
        <v>380</v>
      </c>
      <c r="B235" s="1">
        <v>45734</v>
      </c>
      <c r="C235" s="2" t="s">
        <v>192</v>
      </c>
      <c r="D235" s="2" t="s">
        <v>193</v>
      </c>
      <c r="E235" s="2" t="s">
        <v>31</v>
      </c>
      <c r="F235" s="2" t="s">
        <v>32</v>
      </c>
      <c r="G235" s="2" t="s">
        <v>33</v>
      </c>
      <c r="H235" s="3">
        <v>2</v>
      </c>
      <c r="I235" s="4">
        <v>59.99</v>
      </c>
      <c r="J235" s="2" t="s">
        <v>26</v>
      </c>
      <c r="K235" s="2" t="s">
        <v>50</v>
      </c>
      <c r="L235" s="2" t="s">
        <v>22</v>
      </c>
      <c r="M235" s="1">
        <v>45193</v>
      </c>
      <c r="N235" s="4">
        <f t="shared" si="19"/>
        <v>119.98</v>
      </c>
      <c r="O235" s="2">
        <f t="shared" ca="1" si="15"/>
        <v>3</v>
      </c>
      <c r="P235" s="13">
        <f t="shared" ca="1" si="16"/>
        <v>46305</v>
      </c>
      <c r="Q235" s="16">
        <f t="shared" ca="1" si="17"/>
        <v>0</v>
      </c>
      <c r="R235" s="1">
        <f t="shared" si="18"/>
        <v>45199</v>
      </c>
    </row>
    <row r="236" spans="1:18" x14ac:dyDescent="0.25">
      <c r="A236" s="2" t="s">
        <v>381</v>
      </c>
      <c r="B236" s="1">
        <v>45737</v>
      </c>
      <c r="C236" s="2" t="s">
        <v>132</v>
      </c>
      <c r="D236" s="2" t="s">
        <v>133</v>
      </c>
      <c r="E236" s="2" t="s">
        <v>44</v>
      </c>
      <c r="F236" s="2" t="s">
        <v>45</v>
      </c>
      <c r="G236" s="2" t="s">
        <v>46</v>
      </c>
      <c r="H236" s="3">
        <v>2</v>
      </c>
      <c r="I236" s="4">
        <v>149.99</v>
      </c>
      <c r="J236" s="2" t="s">
        <v>20</v>
      </c>
      <c r="K236" s="2" t="s">
        <v>50</v>
      </c>
      <c r="L236" s="2" t="s">
        <v>27</v>
      </c>
      <c r="M236" s="1">
        <v>45233</v>
      </c>
      <c r="N236" s="4">
        <f t="shared" si="19"/>
        <v>299.98</v>
      </c>
      <c r="O236" s="2">
        <f t="shared" ca="1" si="15"/>
        <v>2</v>
      </c>
      <c r="P236" s="13">
        <f t="shared" ca="1" si="16"/>
        <v>46305</v>
      </c>
      <c r="Q236" s="16">
        <f t="shared" ca="1" si="17"/>
        <v>0</v>
      </c>
      <c r="R236" s="1">
        <f t="shared" si="18"/>
        <v>45260</v>
      </c>
    </row>
    <row r="237" spans="1:18" x14ac:dyDescent="0.25">
      <c r="A237" s="2" t="s">
        <v>382</v>
      </c>
      <c r="B237" s="1">
        <v>45737</v>
      </c>
      <c r="C237" s="2" t="s">
        <v>150</v>
      </c>
      <c r="D237" s="2" t="s">
        <v>151</v>
      </c>
      <c r="E237" s="2" t="s">
        <v>61</v>
      </c>
      <c r="F237" s="2" t="s">
        <v>62</v>
      </c>
      <c r="G237" s="2" t="s">
        <v>19</v>
      </c>
      <c r="H237" s="3">
        <v>3</v>
      </c>
      <c r="I237" s="4">
        <v>899.99</v>
      </c>
      <c r="J237" s="2" t="s">
        <v>57</v>
      </c>
      <c r="K237" s="2" t="s">
        <v>40</v>
      </c>
      <c r="L237" s="2" t="s">
        <v>27</v>
      </c>
      <c r="M237" s="1">
        <v>44876</v>
      </c>
      <c r="N237" s="4">
        <f t="shared" si="19"/>
        <v>2699.9700000000003</v>
      </c>
      <c r="O237" s="2">
        <f t="shared" ca="1" si="15"/>
        <v>3</v>
      </c>
      <c r="P237" s="13">
        <f t="shared" ca="1" si="16"/>
        <v>46305</v>
      </c>
      <c r="Q237" s="16">
        <f t="shared" ca="1" si="17"/>
        <v>0</v>
      </c>
      <c r="R237" s="1">
        <f t="shared" si="18"/>
        <v>44895</v>
      </c>
    </row>
    <row r="238" spans="1:18" x14ac:dyDescent="0.25">
      <c r="A238" s="2" t="s">
        <v>383</v>
      </c>
      <c r="B238" s="1">
        <v>45737</v>
      </c>
      <c r="C238" s="2" t="s">
        <v>48</v>
      </c>
      <c r="D238" s="2" t="s">
        <v>49</v>
      </c>
      <c r="E238" s="2" t="s">
        <v>61</v>
      </c>
      <c r="F238" s="2" t="s">
        <v>62</v>
      </c>
      <c r="G238" s="2" t="s">
        <v>19</v>
      </c>
      <c r="H238" s="3">
        <v>3</v>
      </c>
      <c r="I238" s="4">
        <v>899.99</v>
      </c>
      <c r="J238" s="2" t="s">
        <v>34</v>
      </c>
      <c r="K238" s="2" t="s">
        <v>40</v>
      </c>
      <c r="L238" s="2" t="s">
        <v>22</v>
      </c>
      <c r="M238" s="1">
        <v>44975</v>
      </c>
      <c r="N238" s="4">
        <f t="shared" si="19"/>
        <v>2699.9700000000003</v>
      </c>
      <c r="O238" s="2">
        <f t="shared" ca="1" si="15"/>
        <v>3</v>
      </c>
      <c r="P238" s="13">
        <f t="shared" ca="1" si="16"/>
        <v>46305</v>
      </c>
      <c r="Q238" s="16">
        <f t="shared" ca="1" si="17"/>
        <v>0</v>
      </c>
      <c r="R238" s="1">
        <f t="shared" si="18"/>
        <v>44985</v>
      </c>
    </row>
    <row r="239" spans="1:18" x14ac:dyDescent="0.25">
      <c r="A239" s="2" t="s">
        <v>384</v>
      </c>
      <c r="B239" s="1">
        <v>45739</v>
      </c>
      <c r="C239" s="2" t="s">
        <v>15</v>
      </c>
      <c r="D239" s="2" t="s">
        <v>16</v>
      </c>
      <c r="E239" s="2" t="s">
        <v>105</v>
      </c>
      <c r="F239" s="2" t="s">
        <v>106</v>
      </c>
      <c r="G239" s="2" t="s">
        <v>46</v>
      </c>
      <c r="H239" s="3">
        <v>3</v>
      </c>
      <c r="I239" s="4">
        <v>299.99</v>
      </c>
      <c r="J239" s="2" t="s">
        <v>26</v>
      </c>
      <c r="K239" s="2" t="s">
        <v>50</v>
      </c>
      <c r="L239" s="2" t="s">
        <v>27</v>
      </c>
      <c r="M239" s="1">
        <v>45234</v>
      </c>
      <c r="N239" s="4">
        <f t="shared" si="19"/>
        <v>899.97</v>
      </c>
      <c r="O239" s="2">
        <f t="shared" ca="1" si="15"/>
        <v>2</v>
      </c>
      <c r="P239" s="13">
        <f t="shared" ca="1" si="16"/>
        <v>46305</v>
      </c>
      <c r="Q239" s="16">
        <f t="shared" ca="1" si="17"/>
        <v>0</v>
      </c>
      <c r="R239" s="1">
        <f t="shared" si="18"/>
        <v>45260</v>
      </c>
    </row>
    <row r="240" spans="1:18" x14ac:dyDescent="0.25">
      <c r="A240" s="2" t="s">
        <v>385</v>
      </c>
      <c r="B240" s="1">
        <v>45740</v>
      </c>
      <c r="C240" s="2" t="s">
        <v>386</v>
      </c>
      <c r="D240" s="2" t="s">
        <v>387</v>
      </c>
      <c r="E240" s="2" t="s">
        <v>44</v>
      </c>
      <c r="F240" s="2" t="s">
        <v>45</v>
      </c>
      <c r="G240" s="2" t="s">
        <v>46</v>
      </c>
      <c r="H240" s="3">
        <v>4</v>
      </c>
      <c r="I240" s="4">
        <v>149.99</v>
      </c>
      <c r="J240" s="2" t="s">
        <v>34</v>
      </c>
      <c r="K240" s="2" t="s">
        <v>50</v>
      </c>
      <c r="L240" s="2" t="s">
        <v>36</v>
      </c>
      <c r="M240" s="1">
        <v>44560</v>
      </c>
      <c r="N240" s="4">
        <f t="shared" si="19"/>
        <v>599.96</v>
      </c>
      <c r="O240" s="2">
        <f t="shared" ca="1" si="15"/>
        <v>4</v>
      </c>
      <c r="P240" s="13">
        <f t="shared" ca="1" si="16"/>
        <v>46305</v>
      </c>
      <c r="Q240" s="16">
        <f t="shared" ca="1" si="17"/>
        <v>0</v>
      </c>
      <c r="R240" s="1">
        <f t="shared" si="18"/>
        <v>44561</v>
      </c>
    </row>
    <row r="241" spans="1:18" x14ac:dyDescent="0.25">
      <c r="A241" s="2" t="s">
        <v>388</v>
      </c>
      <c r="B241" s="1">
        <v>45743</v>
      </c>
      <c r="C241" s="2" t="s">
        <v>102</v>
      </c>
      <c r="D241" s="2" t="s">
        <v>103</v>
      </c>
      <c r="E241" s="2" t="s">
        <v>114</v>
      </c>
      <c r="F241" s="2" t="s">
        <v>115</v>
      </c>
      <c r="G241" s="2" t="s">
        <v>33</v>
      </c>
      <c r="H241" s="3">
        <v>4</v>
      </c>
      <c r="I241" s="4">
        <v>79.989999999999995</v>
      </c>
      <c r="J241" s="2" t="s">
        <v>26</v>
      </c>
      <c r="K241" s="2" t="s">
        <v>21</v>
      </c>
      <c r="L241" s="2" t="s">
        <v>22</v>
      </c>
      <c r="M241" s="1">
        <v>45288</v>
      </c>
      <c r="N241" s="4">
        <f t="shared" si="19"/>
        <v>319.95999999999998</v>
      </c>
      <c r="O241" s="2">
        <f t="shared" ca="1" si="15"/>
        <v>2</v>
      </c>
      <c r="P241" s="13">
        <f t="shared" ca="1" si="16"/>
        <v>46305</v>
      </c>
      <c r="Q241" s="16">
        <f t="shared" ca="1" si="17"/>
        <v>0</v>
      </c>
      <c r="R241" s="1">
        <f t="shared" si="18"/>
        <v>45291</v>
      </c>
    </row>
    <row r="242" spans="1:18" x14ac:dyDescent="0.25">
      <c r="A242" s="2" t="s">
        <v>389</v>
      </c>
      <c r="B242" s="1">
        <v>45745</v>
      </c>
      <c r="C242" s="2" t="s">
        <v>185</v>
      </c>
      <c r="D242" s="2" t="s">
        <v>186</v>
      </c>
      <c r="E242" s="2" t="s">
        <v>117</v>
      </c>
      <c r="F242" s="2" t="s">
        <v>118</v>
      </c>
      <c r="G242" s="2" t="s">
        <v>19</v>
      </c>
      <c r="H242" s="3">
        <v>5</v>
      </c>
      <c r="I242" s="4">
        <v>89.99</v>
      </c>
      <c r="J242" s="2" t="s">
        <v>34</v>
      </c>
      <c r="K242" s="2" t="s">
        <v>35</v>
      </c>
      <c r="L242" s="2" t="s">
        <v>22</v>
      </c>
      <c r="M242" s="1">
        <v>44704</v>
      </c>
      <c r="N242" s="4">
        <f t="shared" si="19"/>
        <v>449.95</v>
      </c>
      <c r="O242" s="2">
        <f t="shared" ca="1" si="15"/>
        <v>4</v>
      </c>
      <c r="P242" s="13">
        <f t="shared" ca="1" si="16"/>
        <v>46305</v>
      </c>
      <c r="Q242" s="16">
        <f t="shared" ca="1" si="17"/>
        <v>0</v>
      </c>
      <c r="R242" s="1">
        <f t="shared" si="18"/>
        <v>44712</v>
      </c>
    </row>
    <row r="243" spans="1:18" x14ac:dyDescent="0.25">
      <c r="A243" s="2" t="s">
        <v>390</v>
      </c>
      <c r="B243" s="1">
        <v>45746</v>
      </c>
      <c r="C243" s="2" t="s">
        <v>93</v>
      </c>
      <c r="D243" s="2" t="s">
        <v>94</v>
      </c>
      <c r="E243" s="2" t="s">
        <v>44</v>
      </c>
      <c r="F243" s="2" t="s">
        <v>45</v>
      </c>
      <c r="G243" s="2" t="s">
        <v>46</v>
      </c>
      <c r="H243" s="3">
        <v>3</v>
      </c>
      <c r="I243" s="4">
        <v>149.99</v>
      </c>
      <c r="J243" s="2" t="s">
        <v>34</v>
      </c>
      <c r="K243" s="2" t="s">
        <v>21</v>
      </c>
      <c r="L243" s="2" t="s">
        <v>36</v>
      </c>
      <c r="M243" s="1">
        <v>45171</v>
      </c>
      <c r="N243" s="4">
        <f t="shared" si="19"/>
        <v>449.97</v>
      </c>
      <c r="O243" s="2">
        <f t="shared" ca="1" si="15"/>
        <v>3</v>
      </c>
      <c r="P243" s="13">
        <f t="shared" ca="1" si="16"/>
        <v>46305</v>
      </c>
      <c r="Q243" s="16">
        <f t="shared" ca="1" si="17"/>
        <v>0</v>
      </c>
      <c r="R243" s="1">
        <f t="shared" si="18"/>
        <v>45199</v>
      </c>
    </row>
    <row r="244" spans="1:18" x14ac:dyDescent="0.25">
      <c r="A244" s="2" t="s">
        <v>391</v>
      </c>
      <c r="B244" s="1">
        <v>45746</v>
      </c>
      <c r="C244" s="2" t="s">
        <v>65</v>
      </c>
      <c r="D244" s="2" t="s">
        <v>66</v>
      </c>
      <c r="E244" s="2" t="s">
        <v>117</v>
      </c>
      <c r="F244" s="2" t="s">
        <v>118</v>
      </c>
      <c r="G244" s="2" t="s">
        <v>19</v>
      </c>
      <c r="H244" s="3">
        <v>2</v>
      </c>
      <c r="I244" s="4">
        <v>89.99</v>
      </c>
      <c r="J244" s="2" t="s">
        <v>57</v>
      </c>
      <c r="K244" s="2" t="s">
        <v>50</v>
      </c>
      <c r="L244" s="2" t="s">
        <v>27</v>
      </c>
      <c r="M244" s="1">
        <v>44522</v>
      </c>
      <c r="N244" s="4">
        <f t="shared" si="19"/>
        <v>179.98</v>
      </c>
      <c r="O244" s="2">
        <f t="shared" ca="1" si="15"/>
        <v>4</v>
      </c>
      <c r="P244" s="13">
        <f t="shared" ca="1" si="16"/>
        <v>46305</v>
      </c>
      <c r="Q244" s="16">
        <f t="shared" ca="1" si="17"/>
        <v>0</v>
      </c>
      <c r="R244" s="1">
        <f t="shared" si="18"/>
        <v>44530</v>
      </c>
    </row>
    <row r="245" spans="1:18" x14ac:dyDescent="0.25">
      <c r="A245" s="2" t="s">
        <v>392</v>
      </c>
      <c r="B245" s="1">
        <v>45748</v>
      </c>
      <c r="C245" s="2" t="s">
        <v>102</v>
      </c>
      <c r="D245" s="2" t="s">
        <v>103</v>
      </c>
      <c r="E245" s="2" t="s">
        <v>80</v>
      </c>
      <c r="F245" s="2" t="s">
        <v>81</v>
      </c>
      <c r="G245" s="2" t="s">
        <v>19</v>
      </c>
      <c r="H245" s="3">
        <v>2</v>
      </c>
      <c r="I245" s="4">
        <v>699.99</v>
      </c>
      <c r="J245" s="2" t="s">
        <v>34</v>
      </c>
      <c r="K245" s="2" t="s">
        <v>40</v>
      </c>
      <c r="L245" s="2" t="s">
        <v>36</v>
      </c>
      <c r="M245" s="1">
        <v>44618</v>
      </c>
      <c r="N245" s="4">
        <f t="shared" si="19"/>
        <v>1399.98</v>
      </c>
      <c r="O245" s="2">
        <f t="shared" ca="1" si="15"/>
        <v>4</v>
      </c>
      <c r="P245" s="13">
        <f t="shared" ca="1" si="16"/>
        <v>46305</v>
      </c>
      <c r="Q245" s="16">
        <f t="shared" ca="1" si="17"/>
        <v>0</v>
      </c>
      <c r="R245" s="1">
        <f t="shared" si="18"/>
        <v>44620</v>
      </c>
    </row>
    <row r="246" spans="1:18" x14ac:dyDescent="0.25">
      <c r="A246" s="2" t="s">
        <v>393</v>
      </c>
      <c r="B246" s="1">
        <v>45749</v>
      </c>
      <c r="C246" s="2" t="s">
        <v>123</v>
      </c>
      <c r="D246" s="2" t="s">
        <v>124</v>
      </c>
      <c r="E246" s="2" t="s">
        <v>61</v>
      </c>
      <c r="F246" s="2" t="s">
        <v>62</v>
      </c>
      <c r="G246" s="2" t="s">
        <v>19</v>
      </c>
      <c r="H246" s="3">
        <v>3</v>
      </c>
      <c r="I246" s="4">
        <v>899.99</v>
      </c>
      <c r="J246" s="2" t="s">
        <v>20</v>
      </c>
      <c r="K246" s="2" t="s">
        <v>21</v>
      </c>
      <c r="L246" s="2" t="s">
        <v>36</v>
      </c>
      <c r="M246" s="1">
        <v>44953</v>
      </c>
      <c r="N246" s="4">
        <f t="shared" si="19"/>
        <v>2699.9700000000003</v>
      </c>
      <c r="O246" s="2">
        <f t="shared" ca="1" si="15"/>
        <v>3</v>
      </c>
      <c r="P246" s="13">
        <f t="shared" ca="1" si="16"/>
        <v>46305</v>
      </c>
      <c r="Q246" s="16">
        <f t="shared" ca="1" si="17"/>
        <v>0</v>
      </c>
      <c r="R246" s="1">
        <f t="shared" si="18"/>
        <v>44957</v>
      </c>
    </row>
    <row r="247" spans="1:18" x14ac:dyDescent="0.25">
      <c r="A247" s="2" t="s">
        <v>394</v>
      </c>
      <c r="B247" s="1">
        <v>45755</v>
      </c>
      <c r="C247" s="2" t="s">
        <v>93</v>
      </c>
      <c r="D247" s="2" t="s">
        <v>94</v>
      </c>
      <c r="E247" s="2" t="s">
        <v>114</v>
      </c>
      <c r="F247" s="2" t="s">
        <v>115</v>
      </c>
      <c r="G247" s="2" t="s">
        <v>33</v>
      </c>
      <c r="H247" s="3">
        <v>3</v>
      </c>
      <c r="I247" s="4">
        <v>79.989999999999995</v>
      </c>
      <c r="J247" s="2" t="s">
        <v>26</v>
      </c>
      <c r="K247" s="2" t="s">
        <v>40</v>
      </c>
      <c r="L247" s="2" t="s">
        <v>22</v>
      </c>
      <c r="M247" s="1">
        <v>44511</v>
      </c>
      <c r="N247" s="4">
        <f t="shared" si="19"/>
        <v>239.96999999999997</v>
      </c>
      <c r="O247" s="2">
        <f t="shared" ca="1" si="15"/>
        <v>4</v>
      </c>
      <c r="P247" s="13">
        <f t="shared" ca="1" si="16"/>
        <v>46305</v>
      </c>
      <c r="Q247" s="16">
        <f t="shared" ca="1" si="17"/>
        <v>0</v>
      </c>
      <c r="R247" s="1">
        <f t="shared" si="18"/>
        <v>44530</v>
      </c>
    </row>
    <row r="248" spans="1:18" x14ac:dyDescent="0.25">
      <c r="A248" s="2" t="s">
        <v>395</v>
      </c>
      <c r="B248" s="1">
        <v>45756</v>
      </c>
      <c r="C248" s="2" t="s">
        <v>59</v>
      </c>
      <c r="D248" s="2" t="s">
        <v>60</v>
      </c>
      <c r="E248" s="2" t="s">
        <v>117</v>
      </c>
      <c r="F248" s="2" t="s">
        <v>118</v>
      </c>
      <c r="G248" s="2" t="s">
        <v>19</v>
      </c>
      <c r="H248" s="3">
        <v>1</v>
      </c>
      <c r="I248" s="4">
        <v>89.99</v>
      </c>
      <c r="J248" s="2" t="s">
        <v>57</v>
      </c>
      <c r="K248" s="2" t="s">
        <v>63</v>
      </c>
      <c r="L248" s="2" t="s">
        <v>22</v>
      </c>
      <c r="M248" s="1">
        <v>45346</v>
      </c>
      <c r="N248" s="4">
        <f t="shared" si="19"/>
        <v>89.99</v>
      </c>
      <c r="O248" s="2">
        <f t="shared" ca="1" si="15"/>
        <v>2</v>
      </c>
      <c r="P248" s="13">
        <f t="shared" ca="1" si="16"/>
        <v>46305</v>
      </c>
      <c r="Q248" s="16">
        <f t="shared" ca="1" si="17"/>
        <v>0</v>
      </c>
      <c r="R248" s="1">
        <f t="shared" si="18"/>
        <v>45351</v>
      </c>
    </row>
    <row r="249" spans="1:18" x14ac:dyDescent="0.25">
      <c r="A249" s="2" t="s">
        <v>396</v>
      </c>
      <c r="B249" s="1">
        <v>45758</v>
      </c>
      <c r="C249" s="2" t="s">
        <v>293</v>
      </c>
      <c r="D249" s="2" t="s">
        <v>294</v>
      </c>
      <c r="E249" s="2" t="s">
        <v>80</v>
      </c>
      <c r="F249" s="2" t="s">
        <v>81</v>
      </c>
      <c r="G249" s="2" t="s">
        <v>19</v>
      </c>
      <c r="H249" s="3">
        <v>3</v>
      </c>
      <c r="I249" s="4">
        <v>699.99</v>
      </c>
      <c r="J249" s="2" t="s">
        <v>34</v>
      </c>
      <c r="K249" s="2" t="s">
        <v>40</v>
      </c>
      <c r="L249" s="2" t="s">
        <v>22</v>
      </c>
      <c r="M249" s="1">
        <v>44909</v>
      </c>
      <c r="N249" s="4">
        <f t="shared" si="19"/>
        <v>2099.9700000000003</v>
      </c>
      <c r="O249" s="2">
        <f t="shared" ca="1" si="15"/>
        <v>3</v>
      </c>
      <c r="P249" s="13">
        <f t="shared" ca="1" si="16"/>
        <v>46305</v>
      </c>
      <c r="Q249" s="16">
        <f t="shared" ca="1" si="17"/>
        <v>0</v>
      </c>
      <c r="R249" s="1">
        <f t="shared" si="18"/>
        <v>44926</v>
      </c>
    </row>
    <row r="250" spans="1:18" x14ac:dyDescent="0.25">
      <c r="A250" s="2" t="s">
        <v>397</v>
      </c>
      <c r="B250" s="1">
        <v>45758</v>
      </c>
      <c r="C250" s="2" t="s">
        <v>226</v>
      </c>
      <c r="D250" s="2" t="s">
        <v>227</v>
      </c>
      <c r="E250" s="2" t="s">
        <v>117</v>
      </c>
      <c r="F250" s="2" t="s">
        <v>118</v>
      </c>
      <c r="G250" s="2" t="s">
        <v>19</v>
      </c>
      <c r="H250" s="3">
        <v>2</v>
      </c>
      <c r="I250" s="4">
        <v>89.99</v>
      </c>
      <c r="J250" s="2" t="s">
        <v>57</v>
      </c>
      <c r="K250" s="2" t="s">
        <v>63</v>
      </c>
      <c r="L250" s="2" t="s">
        <v>22</v>
      </c>
      <c r="M250" s="1">
        <v>45088</v>
      </c>
      <c r="N250" s="4">
        <f t="shared" si="19"/>
        <v>179.98</v>
      </c>
      <c r="O250" s="2">
        <f t="shared" ca="1" si="15"/>
        <v>3</v>
      </c>
      <c r="P250" s="13">
        <f t="shared" ca="1" si="16"/>
        <v>46305</v>
      </c>
      <c r="Q250" s="16">
        <f t="shared" ca="1" si="17"/>
        <v>0</v>
      </c>
      <c r="R250" s="1">
        <f t="shared" si="18"/>
        <v>45107</v>
      </c>
    </row>
    <row r="251" spans="1:18" x14ac:dyDescent="0.25">
      <c r="A251" s="2" t="s">
        <v>398</v>
      </c>
      <c r="B251" s="1">
        <v>45758</v>
      </c>
      <c r="C251" s="2" t="s">
        <v>138</v>
      </c>
      <c r="D251" s="2" t="s">
        <v>139</v>
      </c>
      <c r="E251" s="2" t="s">
        <v>117</v>
      </c>
      <c r="F251" s="2" t="s">
        <v>118</v>
      </c>
      <c r="G251" s="2" t="s">
        <v>19</v>
      </c>
      <c r="H251" s="3">
        <v>3</v>
      </c>
      <c r="I251" s="4">
        <v>89.99</v>
      </c>
      <c r="J251" s="2" t="s">
        <v>57</v>
      </c>
      <c r="K251" s="2" t="s">
        <v>40</v>
      </c>
      <c r="L251" s="2" t="s">
        <v>27</v>
      </c>
      <c r="M251" s="1">
        <v>44878</v>
      </c>
      <c r="N251" s="4">
        <f t="shared" si="19"/>
        <v>269.96999999999997</v>
      </c>
      <c r="O251" s="2">
        <f t="shared" ca="1" si="15"/>
        <v>3</v>
      </c>
      <c r="P251" s="14">
        <f t="shared" ca="1" si="16"/>
        <v>46305</v>
      </c>
      <c r="Q251" s="17">
        <f t="shared" ca="1" si="17"/>
        <v>0</v>
      </c>
      <c r="R251" s="5">
        <f t="shared" si="18"/>
        <v>44895</v>
      </c>
    </row>
  </sheetData>
  <scenarios current="0" sqref="U3">
    <scenario name="Best Case" locked="1" count="2" user="kalpesh patil" comment="Created by kalpesh patil on 9/22/2026">
      <inputCells r="H2" val="5" numFmtId="1"/>
      <inputCells r="I2" val="249.99" numFmtId="165"/>
    </scenario>
    <scenario name="Normal Case" locked="1" count="2" user="kalpesh patil" comment="Created by kalpesh patil on 9/22/2026">
      <inputCells r="H2" val="3" numFmtId="1"/>
      <inputCells r="I2" val="249.99" numFmtId="165"/>
    </scenario>
    <scenario name="Worst Case" locked="1" count="2" user="kalpesh patil" comment="Created by kalpesh patil on 9/22/2026">
      <inputCells r="H2" val="1" numFmtId="1"/>
      <inputCells r="I2" val="59.99" numFmtId="165"/>
    </scenario>
  </scenario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4CC-4343-464F-85B3-1D81552E9CE4}">
  <dimension ref="A2:B57"/>
  <sheetViews>
    <sheetView workbookViewId="0">
      <selection activeCell="Q12" sqref="Q12"/>
    </sheetView>
  </sheetViews>
  <sheetFormatPr defaultRowHeight="15" x14ac:dyDescent="0.25"/>
  <cols>
    <col min="1" max="1" width="21.85546875" bestFit="1" customWidth="1"/>
    <col min="2" max="2" width="20.28515625" bestFit="1" customWidth="1"/>
  </cols>
  <sheetData>
    <row r="2" spans="1:2" x14ac:dyDescent="0.25">
      <c r="A2" s="88" t="s">
        <v>518</v>
      </c>
      <c r="B2" s="88"/>
    </row>
    <row r="3" spans="1:2" x14ac:dyDescent="0.25">
      <c r="A3" s="65" t="s">
        <v>459</v>
      </c>
      <c r="B3" s="19" t="s">
        <v>461</v>
      </c>
    </row>
    <row r="4" spans="1:2" x14ac:dyDescent="0.25">
      <c r="A4" s="19" t="s">
        <v>465</v>
      </c>
      <c r="B4" s="66">
        <v>1929.94</v>
      </c>
    </row>
    <row r="5" spans="1:2" x14ac:dyDescent="0.25">
      <c r="A5" s="19" t="s">
        <v>466</v>
      </c>
      <c r="B5" s="66">
        <v>4679.7900000000009</v>
      </c>
    </row>
    <row r="6" spans="1:2" x14ac:dyDescent="0.25">
      <c r="A6" s="19" t="s">
        <v>467</v>
      </c>
      <c r="B6" s="66">
        <v>17359.589999999997</v>
      </c>
    </row>
    <row r="7" spans="1:2" x14ac:dyDescent="0.25">
      <c r="A7" s="19" t="s">
        <v>468</v>
      </c>
      <c r="B7" s="66">
        <v>2199.92</v>
      </c>
    </row>
    <row r="8" spans="1:2" x14ac:dyDescent="0.25">
      <c r="A8" s="19" t="s">
        <v>469</v>
      </c>
      <c r="B8" s="66">
        <v>4799.71</v>
      </c>
    </row>
    <row r="9" spans="1:2" x14ac:dyDescent="0.25">
      <c r="A9" s="19" t="s">
        <v>470</v>
      </c>
      <c r="B9" s="66">
        <v>2549.91</v>
      </c>
    </row>
    <row r="10" spans="1:2" x14ac:dyDescent="0.25">
      <c r="A10" s="19" t="s">
        <v>471</v>
      </c>
      <c r="B10" s="66">
        <v>4609.8599999999997</v>
      </c>
    </row>
    <row r="11" spans="1:2" x14ac:dyDescent="0.25">
      <c r="A11" s="19" t="s">
        <v>472</v>
      </c>
      <c r="B11" s="66">
        <v>739.91</v>
      </c>
    </row>
    <row r="12" spans="1:2" x14ac:dyDescent="0.25">
      <c r="A12" s="19" t="s">
        <v>473</v>
      </c>
      <c r="B12" s="66">
        <v>1879.88</v>
      </c>
    </row>
    <row r="13" spans="1:2" x14ac:dyDescent="0.25">
      <c r="A13" s="19" t="s">
        <v>474</v>
      </c>
      <c r="B13" s="66">
        <v>10289.799999999999</v>
      </c>
    </row>
    <row r="14" spans="1:2" x14ac:dyDescent="0.25">
      <c r="A14" s="19" t="s">
        <v>475</v>
      </c>
      <c r="B14" s="66">
        <v>619.92999999999995</v>
      </c>
    </row>
    <row r="15" spans="1:2" x14ac:dyDescent="0.25">
      <c r="A15" s="19" t="s">
        <v>476</v>
      </c>
      <c r="B15" s="66">
        <v>6609.829999999999</v>
      </c>
    </row>
    <row r="16" spans="1:2" x14ac:dyDescent="0.25">
      <c r="A16" s="19" t="s">
        <v>477</v>
      </c>
      <c r="B16" s="66">
        <v>2239.88</v>
      </c>
    </row>
    <row r="17" spans="1:2" x14ac:dyDescent="0.25">
      <c r="A17" s="19" t="s">
        <v>478</v>
      </c>
      <c r="B17" s="66">
        <v>1479.9</v>
      </c>
    </row>
    <row r="18" spans="1:2" x14ac:dyDescent="0.25">
      <c r="A18" s="19" t="s">
        <v>479</v>
      </c>
      <c r="B18" s="66">
        <v>5999.91</v>
      </c>
    </row>
    <row r="19" spans="1:2" x14ac:dyDescent="0.25">
      <c r="A19" s="19" t="s">
        <v>480</v>
      </c>
      <c r="B19" s="66">
        <v>7999.8</v>
      </c>
    </row>
    <row r="20" spans="1:2" x14ac:dyDescent="0.25">
      <c r="A20" s="19" t="s">
        <v>481</v>
      </c>
      <c r="B20" s="66">
        <v>599.96</v>
      </c>
    </row>
    <row r="21" spans="1:2" x14ac:dyDescent="0.25">
      <c r="A21" s="19" t="s">
        <v>482</v>
      </c>
      <c r="B21" s="66">
        <v>4989.7800000000007</v>
      </c>
    </row>
    <row r="22" spans="1:2" x14ac:dyDescent="0.25">
      <c r="A22" s="19" t="s">
        <v>483</v>
      </c>
      <c r="B22" s="66">
        <v>6129.85</v>
      </c>
    </row>
    <row r="23" spans="1:2" x14ac:dyDescent="0.25">
      <c r="A23" s="19" t="s">
        <v>484</v>
      </c>
      <c r="B23" s="66">
        <v>2639.8600000000006</v>
      </c>
    </row>
    <row r="24" spans="1:2" x14ac:dyDescent="0.25">
      <c r="A24" s="19" t="s">
        <v>485</v>
      </c>
      <c r="B24" s="66">
        <v>3299.94</v>
      </c>
    </row>
    <row r="25" spans="1:2" x14ac:dyDescent="0.25">
      <c r="A25" s="19" t="s">
        <v>486</v>
      </c>
      <c r="B25" s="66">
        <v>759.89</v>
      </c>
    </row>
    <row r="26" spans="1:2" x14ac:dyDescent="0.25">
      <c r="A26" s="19" t="s">
        <v>487</v>
      </c>
      <c r="B26" s="66">
        <v>2979.8500000000004</v>
      </c>
    </row>
    <row r="27" spans="1:2" x14ac:dyDescent="0.25">
      <c r="A27" s="19" t="s">
        <v>488</v>
      </c>
      <c r="B27" s="66">
        <v>6549.8400000000011</v>
      </c>
    </row>
    <row r="28" spans="1:2" x14ac:dyDescent="0.25">
      <c r="A28" s="19" t="s">
        <v>489</v>
      </c>
      <c r="B28" s="66">
        <v>1999.93</v>
      </c>
    </row>
    <row r="29" spans="1:2" x14ac:dyDescent="0.25">
      <c r="A29" s="19" t="s">
        <v>490</v>
      </c>
      <c r="B29" s="66">
        <v>2569.8900000000003</v>
      </c>
    </row>
    <row r="30" spans="1:2" x14ac:dyDescent="0.25">
      <c r="A30" s="19" t="s">
        <v>491</v>
      </c>
      <c r="B30" s="66">
        <v>10799.84</v>
      </c>
    </row>
    <row r="31" spans="1:2" x14ac:dyDescent="0.25">
      <c r="A31" s="19" t="s">
        <v>492</v>
      </c>
      <c r="B31" s="66">
        <v>2269.91</v>
      </c>
    </row>
    <row r="32" spans="1:2" x14ac:dyDescent="0.25">
      <c r="A32" s="19" t="s">
        <v>493</v>
      </c>
      <c r="B32" s="66">
        <v>3769.9199999999996</v>
      </c>
    </row>
    <row r="33" spans="1:2" x14ac:dyDescent="0.25">
      <c r="A33" s="19" t="s">
        <v>494</v>
      </c>
      <c r="B33" s="66">
        <v>2149.92</v>
      </c>
    </row>
    <row r="34" spans="1:2" x14ac:dyDescent="0.25">
      <c r="A34" s="19" t="s">
        <v>495</v>
      </c>
      <c r="B34" s="66">
        <v>3499.7400000000002</v>
      </c>
    </row>
    <row r="35" spans="1:2" x14ac:dyDescent="0.25">
      <c r="A35" s="19" t="s">
        <v>496</v>
      </c>
      <c r="B35" s="66">
        <v>2149.9300000000003</v>
      </c>
    </row>
    <row r="36" spans="1:2" x14ac:dyDescent="0.25">
      <c r="A36" s="19" t="s">
        <v>497</v>
      </c>
      <c r="B36" s="66">
        <v>4509.8500000000004</v>
      </c>
    </row>
    <row r="37" spans="1:2" x14ac:dyDescent="0.25">
      <c r="A37" s="19" t="s">
        <v>498</v>
      </c>
      <c r="B37" s="66">
        <v>9749.77</v>
      </c>
    </row>
    <row r="38" spans="1:2" x14ac:dyDescent="0.25">
      <c r="A38" s="19" t="s">
        <v>499</v>
      </c>
      <c r="B38" s="66">
        <v>1239.8800000000001</v>
      </c>
    </row>
    <row r="39" spans="1:2" x14ac:dyDescent="0.25">
      <c r="A39" s="19" t="s">
        <v>500</v>
      </c>
      <c r="B39" s="66">
        <v>2669.93</v>
      </c>
    </row>
    <row r="40" spans="1:2" x14ac:dyDescent="0.25">
      <c r="A40" s="19" t="s">
        <v>501</v>
      </c>
      <c r="B40" s="66">
        <v>6239.85</v>
      </c>
    </row>
    <row r="41" spans="1:2" x14ac:dyDescent="0.25">
      <c r="A41" s="19" t="s">
        <v>502</v>
      </c>
      <c r="B41" s="66">
        <v>3139.87</v>
      </c>
    </row>
    <row r="42" spans="1:2" x14ac:dyDescent="0.25">
      <c r="A42" s="19" t="s">
        <v>503</v>
      </c>
      <c r="B42" s="66">
        <v>2729.8900000000003</v>
      </c>
    </row>
    <row r="43" spans="1:2" x14ac:dyDescent="0.25">
      <c r="A43" s="19" t="s">
        <v>504</v>
      </c>
      <c r="B43" s="66">
        <v>9629.6899999999987</v>
      </c>
    </row>
    <row r="44" spans="1:2" x14ac:dyDescent="0.25">
      <c r="A44" s="19" t="s">
        <v>505</v>
      </c>
      <c r="B44" s="66">
        <v>3049.83</v>
      </c>
    </row>
    <row r="45" spans="1:2" x14ac:dyDescent="0.25">
      <c r="A45" s="19" t="s">
        <v>506</v>
      </c>
      <c r="B45" s="66">
        <v>7139.83</v>
      </c>
    </row>
    <row r="46" spans="1:2" x14ac:dyDescent="0.25">
      <c r="A46" s="19" t="s">
        <v>507</v>
      </c>
      <c r="B46" s="66">
        <v>3309.8999999999996</v>
      </c>
    </row>
    <row r="47" spans="1:2" x14ac:dyDescent="0.25">
      <c r="A47" s="19" t="s">
        <v>508</v>
      </c>
      <c r="B47" s="66">
        <v>2249.87</v>
      </c>
    </row>
    <row r="48" spans="1:2" x14ac:dyDescent="0.25">
      <c r="A48" s="19" t="s">
        <v>509</v>
      </c>
      <c r="B48" s="66">
        <v>5269.8200000000006</v>
      </c>
    </row>
    <row r="49" spans="1:2" x14ac:dyDescent="0.25">
      <c r="A49" s="19" t="s">
        <v>510</v>
      </c>
      <c r="B49" s="66">
        <v>7649.76</v>
      </c>
    </row>
    <row r="50" spans="1:2" x14ac:dyDescent="0.25">
      <c r="A50" s="19" t="s">
        <v>511</v>
      </c>
      <c r="B50" s="66">
        <v>4939.82</v>
      </c>
    </row>
    <row r="51" spans="1:2" x14ac:dyDescent="0.25">
      <c r="A51" s="19" t="s">
        <v>512</v>
      </c>
      <c r="B51" s="66">
        <v>7079.8099999999995</v>
      </c>
    </row>
    <row r="52" spans="1:2" x14ac:dyDescent="0.25">
      <c r="A52" s="19" t="s">
        <v>513</v>
      </c>
      <c r="B52" s="66">
        <v>119.98</v>
      </c>
    </row>
    <row r="53" spans="1:2" x14ac:dyDescent="0.25">
      <c r="A53" s="19" t="s">
        <v>514</v>
      </c>
      <c r="B53" s="66">
        <v>7199.85</v>
      </c>
    </row>
    <row r="54" spans="1:2" x14ac:dyDescent="0.25">
      <c r="A54" s="19" t="s">
        <v>515</v>
      </c>
      <c r="B54" s="66">
        <v>5499.81</v>
      </c>
    </row>
    <row r="55" spans="1:2" x14ac:dyDescent="0.25">
      <c r="A55" s="19" t="s">
        <v>516</v>
      </c>
      <c r="B55" s="66">
        <v>329.96</v>
      </c>
    </row>
    <row r="56" spans="1:2" x14ac:dyDescent="0.25">
      <c r="A56" s="19" t="s">
        <v>517</v>
      </c>
      <c r="B56" s="66">
        <v>2549.92</v>
      </c>
    </row>
    <row r="57" spans="1:2" x14ac:dyDescent="0.25">
      <c r="A57" s="19" t="s">
        <v>460</v>
      </c>
      <c r="B57" s="66">
        <v>229442.50000000003</v>
      </c>
    </row>
  </sheetData>
  <mergeCells count="1">
    <mergeCell ref="A2:B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C1841-4EF8-4A9A-907A-6884084E80BF}">
  <dimension ref="A1:N251"/>
  <sheetViews>
    <sheetView topLeftCell="I1" workbookViewId="0">
      <selection activeCell="H11" sqref="H11"/>
    </sheetView>
  </sheetViews>
  <sheetFormatPr defaultRowHeight="15" x14ac:dyDescent="0.25"/>
  <cols>
    <col min="1" max="1" width="17.42578125" customWidth="1"/>
    <col min="2" max="2" width="17.5703125" customWidth="1"/>
    <col min="3" max="3" width="14.28515625" customWidth="1"/>
    <col min="4" max="4" width="17.85546875" customWidth="1"/>
    <col min="5" max="5" width="16.85546875" customWidth="1"/>
    <col min="6" max="6" width="18.42578125" customWidth="1"/>
    <col min="7" max="7" width="17.5703125" customWidth="1"/>
    <col min="8" max="8" width="23.28515625" customWidth="1"/>
    <col min="9" max="9" width="21" customWidth="1"/>
    <col min="10" max="10" width="21.5703125" customWidth="1"/>
    <col min="11" max="11" width="16.42578125" customWidth="1"/>
    <col min="12" max="12" width="21.7109375" customWidth="1"/>
    <col min="13" max="13" width="21.140625" customWidth="1"/>
    <col min="14" max="14" width="20.7109375" customWidth="1"/>
  </cols>
  <sheetData>
    <row r="1" spans="1:14" ht="15.75" x14ac:dyDescent="0.25">
      <c r="A1" s="67" t="s">
        <v>0</v>
      </c>
      <c r="B1" s="68" t="s">
        <v>1</v>
      </c>
      <c r="C1" s="67" t="s">
        <v>2</v>
      </c>
      <c r="D1" s="67" t="s">
        <v>3</v>
      </c>
      <c r="E1" s="67" t="s">
        <v>4</v>
      </c>
      <c r="F1" s="67" t="s">
        <v>5</v>
      </c>
      <c r="G1" s="67" t="s">
        <v>6</v>
      </c>
      <c r="H1" s="69" t="s">
        <v>7</v>
      </c>
      <c r="I1" s="70" t="s">
        <v>8</v>
      </c>
      <c r="J1" s="67" t="s">
        <v>9</v>
      </c>
      <c r="K1" s="67" t="s">
        <v>10</v>
      </c>
      <c r="L1" s="67" t="s">
        <v>11</v>
      </c>
      <c r="M1" s="68" t="s">
        <v>12</v>
      </c>
      <c r="N1" s="71" t="s">
        <v>13</v>
      </c>
    </row>
    <row r="2" spans="1:14" x14ac:dyDescent="0.25">
      <c r="A2" s="72" t="s">
        <v>14</v>
      </c>
      <c r="B2" s="73">
        <v>45393</v>
      </c>
      <c r="C2" s="72" t="s">
        <v>15</v>
      </c>
      <c r="D2" s="72" t="s">
        <v>16</v>
      </c>
      <c r="E2" s="72" t="s">
        <v>17</v>
      </c>
      <c r="F2" s="72" t="s">
        <v>18</v>
      </c>
      <c r="G2" s="72" t="s">
        <v>19</v>
      </c>
      <c r="H2" s="74">
        <v>3</v>
      </c>
      <c r="I2" s="75">
        <v>333.33333333333331</v>
      </c>
      <c r="J2" s="72" t="s">
        <v>20</v>
      </c>
      <c r="K2" s="72" t="s">
        <v>21</v>
      </c>
      <c r="L2" s="72" t="s">
        <v>22</v>
      </c>
      <c r="M2" s="73">
        <v>44425</v>
      </c>
      <c r="N2" s="75">
        <f>H2*I2</f>
        <v>1000</v>
      </c>
    </row>
    <row r="3" spans="1:14" x14ac:dyDescent="0.25">
      <c r="A3" s="76" t="s">
        <v>23</v>
      </c>
      <c r="B3" s="77">
        <v>45396</v>
      </c>
      <c r="C3" s="76" t="s">
        <v>24</v>
      </c>
      <c r="D3" s="76" t="s">
        <v>25</v>
      </c>
      <c r="E3" s="76" t="s">
        <v>17</v>
      </c>
      <c r="F3" s="76" t="s">
        <v>18</v>
      </c>
      <c r="G3" s="76" t="s">
        <v>19</v>
      </c>
      <c r="H3" s="78">
        <v>3</v>
      </c>
      <c r="I3" s="79">
        <v>249.99</v>
      </c>
      <c r="J3" s="76" t="s">
        <v>26</v>
      </c>
      <c r="K3" s="76" t="s">
        <v>21</v>
      </c>
      <c r="L3" s="76" t="s">
        <v>27</v>
      </c>
      <c r="M3" s="77">
        <v>44575</v>
      </c>
      <c r="N3" s="79">
        <f t="shared" ref="N3:N66" si="0">H3*I3</f>
        <v>749.97</v>
      </c>
    </row>
    <row r="4" spans="1:14" x14ac:dyDescent="0.25">
      <c r="A4" s="72" t="s">
        <v>28</v>
      </c>
      <c r="B4" s="73">
        <v>45399</v>
      </c>
      <c r="C4" s="72" t="s">
        <v>29</v>
      </c>
      <c r="D4" s="72" t="s">
        <v>30</v>
      </c>
      <c r="E4" s="72" t="s">
        <v>31</v>
      </c>
      <c r="F4" s="72" t="s">
        <v>32</v>
      </c>
      <c r="G4" s="72" t="s">
        <v>33</v>
      </c>
      <c r="H4" s="74">
        <v>3</v>
      </c>
      <c r="I4" s="75">
        <v>59.99</v>
      </c>
      <c r="J4" s="72" t="s">
        <v>34</v>
      </c>
      <c r="K4" s="72" t="s">
        <v>35</v>
      </c>
      <c r="L4" s="72" t="s">
        <v>36</v>
      </c>
      <c r="M4" s="73">
        <v>45262</v>
      </c>
      <c r="N4" s="75">
        <f t="shared" si="0"/>
        <v>179.97</v>
      </c>
    </row>
    <row r="5" spans="1:14" x14ac:dyDescent="0.25">
      <c r="A5" s="76" t="s">
        <v>37</v>
      </c>
      <c r="B5" s="77">
        <v>45400</v>
      </c>
      <c r="C5" s="76" t="s">
        <v>38</v>
      </c>
      <c r="D5" s="76" t="s">
        <v>39</v>
      </c>
      <c r="E5" s="76" t="s">
        <v>31</v>
      </c>
      <c r="F5" s="76" t="s">
        <v>32</v>
      </c>
      <c r="G5" s="76" t="s">
        <v>33</v>
      </c>
      <c r="H5" s="78">
        <v>3</v>
      </c>
      <c r="I5" s="79">
        <v>59.99</v>
      </c>
      <c r="J5" s="76" t="s">
        <v>20</v>
      </c>
      <c r="K5" s="76" t="s">
        <v>40</v>
      </c>
      <c r="L5" s="76" t="s">
        <v>27</v>
      </c>
      <c r="M5" s="77">
        <v>45114</v>
      </c>
      <c r="N5" s="79">
        <f t="shared" si="0"/>
        <v>179.97</v>
      </c>
    </row>
    <row r="6" spans="1:14" x14ac:dyDescent="0.25">
      <c r="A6" s="72" t="s">
        <v>41</v>
      </c>
      <c r="B6" s="73">
        <v>45400</v>
      </c>
      <c r="C6" s="72" t="s">
        <v>42</v>
      </c>
      <c r="D6" s="72" t="s">
        <v>43</v>
      </c>
      <c r="E6" s="72" t="s">
        <v>44</v>
      </c>
      <c r="F6" s="72" t="s">
        <v>45</v>
      </c>
      <c r="G6" s="72" t="s">
        <v>46</v>
      </c>
      <c r="H6" s="74">
        <v>5</v>
      </c>
      <c r="I6" s="75">
        <v>149.99</v>
      </c>
      <c r="J6" s="72" t="s">
        <v>26</v>
      </c>
      <c r="K6" s="72" t="s">
        <v>40</v>
      </c>
      <c r="L6" s="72" t="s">
        <v>27</v>
      </c>
      <c r="M6" s="73">
        <v>45295</v>
      </c>
      <c r="N6" s="75">
        <f t="shared" si="0"/>
        <v>749.95</v>
      </c>
    </row>
    <row r="7" spans="1:14" x14ac:dyDescent="0.25">
      <c r="A7" s="76" t="s">
        <v>47</v>
      </c>
      <c r="B7" s="77">
        <v>45403</v>
      </c>
      <c r="C7" s="76" t="s">
        <v>48</v>
      </c>
      <c r="D7" s="76" t="s">
        <v>49</v>
      </c>
      <c r="E7" s="76" t="s">
        <v>31</v>
      </c>
      <c r="F7" s="76" t="s">
        <v>32</v>
      </c>
      <c r="G7" s="76" t="s">
        <v>33</v>
      </c>
      <c r="H7" s="78">
        <v>2</v>
      </c>
      <c r="I7" s="79">
        <v>59.99</v>
      </c>
      <c r="J7" s="76" t="s">
        <v>20</v>
      </c>
      <c r="K7" s="76" t="s">
        <v>50</v>
      </c>
      <c r="L7" s="76" t="s">
        <v>36</v>
      </c>
      <c r="M7" s="77">
        <v>44746</v>
      </c>
      <c r="N7" s="79">
        <f t="shared" si="0"/>
        <v>119.98</v>
      </c>
    </row>
    <row r="8" spans="1:14" x14ac:dyDescent="0.25">
      <c r="A8" s="72" t="s">
        <v>51</v>
      </c>
      <c r="B8" s="73">
        <v>45403</v>
      </c>
      <c r="C8" s="72" t="s">
        <v>48</v>
      </c>
      <c r="D8" s="72" t="s">
        <v>49</v>
      </c>
      <c r="E8" s="72" t="s">
        <v>52</v>
      </c>
      <c r="F8" s="72" t="s">
        <v>53</v>
      </c>
      <c r="G8" s="72" t="s">
        <v>19</v>
      </c>
      <c r="H8" s="74">
        <v>5</v>
      </c>
      <c r="I8" s="75">
        <v>149.99</v>
      </c>
      <c r="J8" s="72" t="s">
        <v>26</v>
      </c>
      <c r="K8" s="72" t="s">
        <v>21</v>
      </c>
      <c r="L8" s="72" t="s">
        <v>36</v>
      </c>
      <c r="M8" s="73">
        <v>44418</v>
      </c>
      <c r="N8" s="75">
        <f t="shared" si="0"/>
        <v>749.95</v>
      </c>
    </row>
    <row r="9" spans="1:14" x14ac:dyDescent="0.25">
      <c r="A9" s="76" t="s">
        <v>54</v>
      </c>
      <c r="B9" s="77">
        <v>45403</v>
      </c>
      <c r="C9" s="76" t="s">
        <v>55</v>
      </c>
      <c r="D9" s="76" t="s">
        <v>56</v>
      </c>
      <c r="E9" s="76" t="s">
        <v>31</v>
      </c>
      <c r="F9" s="76" t="s">
        <v>32</v>
      </c>
      <c r="G9" s="76" t="s">
        <v>33</v>
      </c>
      <c r="H9" s="78">
        <v>3</v>
      </c>
      <c r="I9" s="79">
        <v>59.99</v>
      </c>
      <c r="J9" s="76" t="s">
        <v>57</v>
      </c>
      <c r="K9" s="76" t="s">
        <v>35</v>
      </c>
      <c r="L9" s="76" t="s">
        <v>22</v>
      </c>
      <c r="M9" s="77">
        <v>45007</v>
      </c>
      <c r="N9" s="79">
        <f t="shared" si="0"/>
        <v>179.97</v>
      </c>
    </row>
    <row r="10" spans="1:14" x14ac:dyDescent="0.25">
      <c r="A10" s="72" t="s">
        <v>58</v>
      </c>
      <c r="B10" s="73">
        <v>45405</v>
      </c>
      <c r="C10" s="72" t="s">
        <v>59</v>
      </c>
      <c r="D10" s="72" t="s">
        <v>60</v>
      </c>
      <c r="E10" s="72" t="s">
        <v>61</v>
      </c>
      <c r="F10" s="72" t="s">
        <v>62</v>
      </c>
      <c r="G10" s="72" t="s">
        <v>19</v>
      </c>
      <c r="H10" s="74">
        <v>3</v>
      </c>
      <c r="I10" s="75">
        <v>899.99</v>
      </c>
      <c r="J10" s="72" t="s">
        <v>34</v>
      </c>
      <c r="K10" s="72" t="s">
        <v>63</v>
      </c>
      <c r="L10" s="72" t="s">
        <v>36</v>
      </c>
      <c r="M10" s="73">
        <v>45299</v>
      </c>
      <c r="N10" s="75">
        <f t="shared" si="0"/>
        <v>2699.9700000000003</v>
      </c>
    </row>
    <row r="11" spans="1:14" x14ac:dyDescent="0.25">
      <c r="A11" s="76" t="s">
        <v>64</v>
      </c>
      <c r="B11" s="77">
        <v>45408</v>
      </c>
      <c r="C11" s="76" t="s">
        <v>65</v>
      </c>
      <c r="D11" s="76" t="s">
        <v>66</v>
      </c>
      <c r="E11" s="76" t="s">
        <v>31</v>
      </c>
      <c r="F11" s="76" t="s">
        <v>32</v>
      </c>
      <c r="G11" s="76" t="s">
        <v>33</v>
      </c>
      <c r="H11" s="78">
        <v>3</v>
      </c>
      <c r="I11" s="79">
        <v>59.99</v>
      </c>
      <c r="J11" s="76" t="s">
        <v>20</v>
      </c>
      <c r="K11" s="76" t="s">
        <v>50</v>
      </c>
      <c r="L11" s="76" t="s">
        <v>27</v>
      </c>
      <c r="M11" s="77">
        <v>45207</v>
      </c>
      <c r="N11" s="79">
        <f t="shared" si="0"/>
        <v>179.97</v>
      </c>
    </row>
    <row r="12" spans="1:14" x14ac:dyDescent="0.25">
      <c r="A12" s="72" t="s">
        <v>67</v>
      </c>
      <c r="B12" s="73">
        <v>45408</v>
      </c>
      <c r="C12" s="72" t="s">
        <v>68</v>
      </c>
      <c r="D12" s="72" t="s">
        <v>69</v>
      </c>
      <c r="E12" s="72" t="s">
        <v>44</v>
      </c>
      <c r="F12" s="72" t="s">
        <v>45</v>
      </c>
      <c r="G12" s="72" t="s">
        <v>46</v>
      </c>
      <c r="H12" s="74">
        <v>1</v>
      </c>
      <c r="I12" s="75">
        <v>149.99</v>
      </c>
      <c r="J12" s="72" t="s">
        <v>26</v>
      </c>
      <c r="K12" s="72" t="s">
        <v>50</v>
      </c>
      <c r="L12" s="72" t="s">
        <v>36</v>
      </c>
      <c r="M12" s="73">
        <v>45103</v>
      </c>
      <c r="N12" s="75">
        <f t="shared" si="0"/>
        <v>149.99</v>
      </c>
    </row>
    <row r="13" spans="1:14" x14ac:dyDescent="0.25">
      <c r="A13" s="76" t="s">
        <v>70</v>
      </c>
      <c r="B13" s="77">
        <v>45408</v>
      </c>
      <c r="C13" s="76" t="s">
        <v>38</v>
      </c>
      <c r="D13" s="76" t="s">
        <v>39</v>
      </c>
      <c r="E13" s="76" t="s">
        <v>44</v>
      </c>
      <c r="F13" s="76" t="s">
        <v>45</v>
      </c>
      <c r="G13" s="76" t="s">
        <v>46</v>
      </c>
      <c r="H13" s="78">
        <v>5</v>
      </c>
      <c r="I13" s="79">
        <v>149.99</v>
      </c>
      <c r="J13" s="76" t="s">
        <v>57</v>
      </c>
      <c r="K13" s="76" t="s">
        <v>40</v>
      </c>
      <c r="L13" s="76" t="s">
        <v>22</v>
      </c>
      <c r="M13" s="77">
        <v>44830</v>
      </c>
      <c r="N13" s="79">
        <f t="shared" si="0"/>
        <v>749.95</v>
      </c>
    </row>
    <row r="14" spans="1:14" x14ac:dyDescent="0.25">
      <c r="A14" s="72" t="s">
        <v>71</v>
      </c>
      <c r="B14" s="73">
        <v>45408</v>
      </c>
      <c r="C14" s="72" t="s">
        <v>72</v>
      </c>
      <c r="D14" s="72" t="s">
        <v>73</v>
      </c>
      <c r="E14" s="72" t="s">
        <v>44</v>
      </c>
      <c r="F14" s="72" t="s">
        <v>45</v>
      </c>
      <c r="G14" s="72" t="s">
        <v>46</v>
      </c>
      <c r="H14" s="74">
        <v>3</v>
      </c>
      <c r="I14" s="75">
        <v>149.99</v>
      </c>
      <c r="J14" s="72" t="s">
        <v>20</v>
      </c>
      <c r="K14" s="72" t="s">
        <v>40</v>
      </c>
      <c r="L14" s="72" t="s">
        <v>27</v>
      </c>
      <c r="M14" s="73">
        <v>44806</v>
      </c>
      <c r="N14" s="75">
        <f t="shared" si="0"/>
        <v>449.97</v>
      </c>
    </row>
    <row r="15" spans="1:14" x14ac:dyDescent="0.25">
      <c r="A15" s="76" t="s">
        <v>74</v>
      </c>
      <c r="B15" s="77">
        <v>45409</v>
      </c>
      <c r="C15" s="76" t="s">
        <v>75</v>
      </c>
      <c r="D15" s="76" t="s">
        <v>76</v>
      </c>
      <c r="E15" s="76" t="s">
        <v>31</v>
      </c>
      <c r="F15" s="76" t="s">
        <v>32</v>
      </c>
      <c r="G15" s="76" t="s">
        <v>33</v>
      </c>
      <c r="H15" s="78">
        <v>3</v>
      </c>
      <c r="I15" s="79">
        <v>59.99</v>
      </c>
      <c r="J15" s="76" t="s">
        <v>26</v>
      </c>
      <c r="K15" s="76" t="s">
        <v>40</v>
      </c>
      <c r="L15" s="76" t="s">
        <v>36</v>
      </c>
      <c r="M15" s="77">
        <v>45351</v>
      </c>
      <c r="N15" s="79">
        <f t="shared" si="0"/>
        <v>179.97</v>
      </c>
    </row>
    <row r="16" spans="1:14" x14ac:dyDescent="0.25">
      <c r="A16" s="72" t="s">
        <v>77</v>
      </c>
      <c r="B16" s="73">
        <v>45409</v>
      </c>
      <c r="C16" s="72" t="s">
        <v>78</v>
      </c>
      <c r="D16" s="72" t="s">
        <v>79</v>
      </c>
      <c r="E16" s="72" t="s">
        <v>80</v>
      </c>
      <c r="F16" s="72" t="s">
        <v>81</v>
      </c>
      <c r="G16" s="72" t="s">
        <v>19</v>
      </c>
      <c r="H16" s="74">
        <v>3</v>
      </c>
      <c r="I16" s="75">
        <v>699.99</v>
      </c>
      <c r="J16" s="72" t="s">
        <v>26</v>
      </c>
      <c r="K16" s="72" t="s">
        <v>50</v>
      </c>
      <c r="L16" s="72" t="s">
        <v>22</v>
      </c>
      <c r="M16" s="73">
        <v>44577</v>
      </c>
      <c r="N16" s="75">
        <f t="shared" si="0"/>
        <v>2099.9700000000003</v>
      </c>
    </row>
    <row r="17" spans="1:14" x14ac:dyDescent="0.25">
      <c r="A17" s="76" t="s">
        <v>82</v>
      </c>
      <c r="B17" s="77">
        <v>45409</v>
      </c>
      <c r="C17" s="76" t="s">
        <v>83</v>
      </c>
      <c r="D17" s="76" t="s">
        <v>84</v>
      </c>
      <c r="E17" s="76" t="s">
        <v>61</v>
      </c>
      <c r="F17" s="76" t="s">
        <v>62</v>
      </c>
      <c r="G17" s="76" t="s">
        <v>19</v>
      </c>
      <c r="H17" s="78">
        <v>1</v>
      </c>
      <c r="I17" s="79">
        <v>899.99</v>
      </c>
      <c r="J17" s="76" t="s">
        <v>57</v>
      </c>
      <c r="K17" s="76" t="s">
        <v>40</v>
      </c>
      <c r="L17" s="76" t="s">
        <v>36</v>
      </c>
      <c r="M17" s="77">
        <v>44920</v>
      </c>
      <c r="N17" s="79">
        <f t="shared" si="0"/>
        <v>899.99</v>
      </c>
    </row>
    <row r="18" spans="1:14" x14ac:dyDescent="0.25">
      <c r="A18" s="72" t="s">
        <v>85</v>
      </c>
      <c r="B18" s="73">
        <v>45410</v>
      </c>
      <c r="C18" s="72" t="s">
        <v>86</v>
      </c>
      <c r="D18" s="72" t="s">
        <v>87</v>
      </c>
      <c r="E18" s="72" t="s">
        <v>44</v>
      </c>
      <c r="F18" s="72" t="s">
        <v>45</v>
      </c>
      <c r="G18" s="72" t="s">
        <v>46</v>
      </c>
      <c r="H18" s="74">
        <v>4</v>
      </c>
      <c r="I18" s="75">
        <v>149.99</v>
      </c>
      <c r="J18" s="72" t="s">
        <v>57</v>
      </c>
      <c r="K18" s="72" t="s">
        <v>40</v>
      </c>
      <c r="L18" s="72" t="s">
        <v>27</v>
      </c>
      <c r="M18" s="73">
        <v>45374</v>
      </c>
      <c r="N18" s="75">
        <f t="shared" si="0"/>
        <v>599.96</v>
      </c>
    </row>
    <row r="19" spans="1:14" x14ac:dyDescent="0.25">
      <c r="A19" s="76" t="s">
        <v>88</v>
      </c>
      <c r="B19" s="77">
        <v>45410</v>
      </c>
      <c r="C19" s="76" t="s">
        <v>89</v>
      </c>
      <c r="D19" s="76" t="s">
        <v>90</v>
      </c>
      <c r="E19" s="76" t="s">
        <v>80</v>
      </c>
      <c r="F19" s="76" t="s">
        <v>81</v>
      </c>
      <c r="G19" s="76" t="s">
        <v>19</v>
      </c>
      <c r="H19" s="78">
        <v>2</v>
      </c>
      <c r="I19" s="79">
        <v>699.99</v>
      </c>
      <c r="J19" s="76" t="s">
        <v>20</v>
      </c>
      <c r="K19" s="76" t="s">
        <v>40</v>
      </c>
      <c r="L19" s="76" t="s">
        <v>22</v>
      </c>
      <c r="M19" s="77">
        <v>44781</v>
      </c>
      <c r="N19" s="79">
        <f t="shared" si="0"/>
        <v>1399.98</v>
      </c>
    </row>
    <row r="20" spans="1:14" x14ac:dyDescent="0.25">
      <c r="A20" s="72" t="s">
        <v>91</v>
      </c>
      <c r="B20" s="73">
        <v>45410</v>
      </c>
      <c r="C20" s="72" t="s">
        <v>86</v>
      </c>
      <c r="D20" s="72" t="s">
        <v>87</v>
      </c>
      <c r="E20" s="72" t="s">
        <v>61</v>
      </c>
      <c r="F20" s="72" t="s">
        <v>62</v>
      </c>
      <c r="G20" s="72" t="s">
        <v>19</v>
      </c>
      <c r="H20" s="74">
        <v>4</v>
      </c>
      <c r="I20" s="75">
        <v>899.99</v>
      </c>
      <c r="J20" s="72" t="s">
        <v>26</v>
      </c>
      <c r="K20" s="72" t="s">
        <v>50</v>
      </c>
      <c r="L20" s="72" t="s">
        <v>36</v>
      </c>
      <c r="M20" s="73">
        <v>45327</v>
      </c>
      <c r="N20" s="75">
        <f t="shared" si="0"/>
        <v>3599.96</v>
      </c>
    </row>
    <row r="21" spans="1:14" x14ac:dyDescent="0.25">
      <c r="A21" s="76" t="s">
        <v>92</v>
      </c>
      <c r="B21" s="77">
        <v>45410</v>
      </c>
      <c r="C21" s="76" t="s">
        <v>93</v>
      </c>
      <c r="D21" s="76" t="s">
        <v>94</v>
      </c>
      <c r="E21" s="76" t="s">
        <v>17</v>
      </c>
      <c r="F21" s="76" t="s">
        <v>18</v>
      </c>
      <c r="G21" s="76" t="s">
        <v>19</v>
      </c>
      <c r="H21" s="78">
        <v>3</v>
      </c>
      <c r="I21" s="79">
        <v>249.99</v>
      </c>
      <c r="J21" s="76" t="s">
        <v>26</v>
      </c>
      <c r="K21" s="76" t="s">
        <v>40</v>
      </c>
      <c r="L21" s="76" t="s">
        <v>27</v>
      </c>
      <c r="M21" s="77">
        <v>45224</v>
      </c>
      <c r="N21" s="79">
        <f t="shared" si="0"/>
        <v>749.97</v>
      </c>
    </row>
    <row r="22" spans="1:14" x14ac:dyDescent="0.25">
      <c r="A22" s="72" t="s">
        <v>95</v>
      </c>
      <c r="B22" s="73">
        <v>45412</v>
      </c>
      <c r="C22" s="72" t="s">
        <v>96</v>
      </c>
      <c r="D22" s="72" t="s">
        <v>97</v>
      </c>
      <c r="E22" s="72" t="s">
        <v>80</v>
      </c>
      <c r="F22" s="72" t="s">
        <v>81</v>
      </c>
      <c r="G22" s="72" t="s">
        <v>19</v>
      </c>
      <c r="H22" s="74">
        <v>5</v>
      </c>
      <c r="I22" s="75">
        <v>699.99</v>
      </c>
      <c r="J22" s="72" t="s">
        <v>20</v>
      </c>
      <c r="K22" s="72" t="s">
        <v>50</v>
      </c>
      <c r="L22" s="72" t="s">
        <v>22</v>
      </c>
      <c r="M22" s="73">
        <v>45167</v>
      </c>
      <c r="N22" s="75">
        <f t="shared" si="0"/>
        <v>3499.95</v>
      </c>
    </row>
    <row r="23" spans="1:14" x14ac:dyDescent="0.25">
      <c r="A23" s="76" t="s">
        <v>98</v>
      </c>
      <c r="B23" s="77">
        <v>45413</v>
      </c>
      <c r="C23" s="76" t="s">
        <v>99</v>
      </c>
      <c r="D23" s="76" t="s">
        <v>100</v>
      </c>
      <c r="E23" s="76" t="s">
        <v>80</v>
      </c>
      <c r="F23" s="76" t="s">
        <v>81</v>
      </c>
      <c r="G23" s="76" t="s">
        <v>19</v>
      </c>
      <c r="H23" s="78">
        <v>4</v>
      </c>
      <c r="I23" s="79">
        <v>699.99</v>
      </c>
      <c r="J23" s="76" t="s">
        <v>20</v>
      </c>
      <c r="K23" s="76" t="s">
        <v>63</v>
      </c>
      <c r="L23" s="76" t="s">
        <v>36</v>
      </c>
      <c r="M23" s="77">
        <v>44409</v>
      </c>
      <c r="N23" s="79">
        <f t="shared" si="0"/>
        <v>2799.96</v>
      </c>
    </row>
    <row r="24" spans="1:14" x14ac:dyDescent="0.25">
      <c r="A24" s="72" t="s">
        <v>101</v>
      </c>
      <c r="B24" s="73">
        <v>45415</v>
      </c>
      <c r="C24" s="72" t="s">
        <v>102</v>
      </c>
      <c r="D24" s="72" t="s">
        <v>103</v>
      </c>
      <c r="E24" s="72" t="s">
        <v>17</v>
      </c>
      <c r="F24" s="72" t="s">
        <v>18</v>
      </c>
      <c r="G24" s="72" t="s">
        <v>19</v>
      </c>
      <c r="H24" s="74">
        <v>4</v>
      </c>
      <c r="I24" s="75">
        <v>249.99</v>
      </c>
      <c r="J24" s="72" t="s">
        <v>34</v>
      </c>
      <c r="K24" s="72" t="s">
        <v>40</v>
      </c>
      <c r="L24" s="72" t="s">
        <v>36</v>
      </c>
      <c r="M24" s="73">
        <v>44468</v>
      </c>
      <c r="N24" s="75">
        <f t="shared" si="0"/>
        <v>999.96</v>
      </c>
    </row>
    <row r="25" spans="1:14" x14ac:dyDescent="0.25">
      <c r="A25" s="76" t="s">
        <v>104</v>
      </c>
      <c r="B25" s="77">
        <v>45416</v>
      </c>
      <c r="C25" s="76" t="s">
        <v>86</v>
      </c>
      <c r="D25" s="76" t="s">
        <v>87</v>
      </c>
      <c r="E25" s="76" t="s">
        <v>105</v>
      </c>
      <c r="F25" s="76" t="s">
        <v>106</v>
      </c>
      <c r="G25" s="76" t="s">
        <v>46</v>
      </c>
      <c r="H25" s="78">
        <v>4</v>
      </c>
      <c r="I25" s="79">
        <v>299.99</v>
      </c>
      <c r="J25" s="76" t="s">
        <v>20</v>
      </c>
      <c r="K25" s="76" t="s">
        <v>50</v>
      </c>
      <c r="L25" s="76" t="s">
        <v>27</v>
      </c>
      <c r="M25" s="77">
        <v>44716</v>
      </c>
      <c r="N25" s="79">
        <f t="shared" si="0"/>
        <v>1199.96</v>
      </c>
    </row>
    <row r="26" spans="1:14" x14ac:dyDescent="0.25">
      <c r="A26" s="72" t="s">
        <v>107</v>
      </c>
      <c r="B26" s="73">
        <v>45422</v>
      </c>
      <c r="C26" s="72" t="s">
        <v>108</v>
      </c>
      <c r="D26" s="72" t="s">
        <v>109</v>
      </c>
      <c r="E26" s="72" t="s">
        <v>17</v>
      </c>
      <c r="F26" s="72" t="s">
        <v>18</v>
      </c>
      <c r="G26" s="72" t="s">
        <v>19</v>
      </c>
      <c r="H26" s="74">
        <v>5</v>
      </c>
      <c r="I26" s="75">
        <v>249.99</v>
      </c>
      <c r="J26" s="72" t="s">
        <v>26</v>
      </c>
      <c r="K26" s="72" t="s">
        <v>50</v>
      </c>
      <c r="L26" s="72" t="s">
        <v>36</v>
      </c>
      <c r="M26" s="73">
        <v>44525</v>
      </c>
      <c r="N26" s="75">
        <f t="shared" si="0"/>
        <v>1249.95</v>
      </c>
    </row>
    <row r="27" spans="1:14" x14ac:dyDescent="0.25">
      <c r="A27" s="76" t="s">
        <v>110</v>
      </c>
      <c r="B27" s="77">
        <v>45424</v>
      </c>
      <c r="C27" s="76" t="s">
        <v>68</v>
      </c>
      <c r="D27" s="76" t="s">
        <v>69</v>
      </c>
      <c r="E27" s="76" t="s">
        <v>105</v>
      </c>
      <c r="F27" s="76" t="s">
        <v>106</v>
      </c>
      <c r="G27" s="76" t="s">
        <v>46</v>
      </c>
      <c r="H27" s="78">
        <v>5</v>
      </c>
      <c r="I27" s="79">
        <v>299.99</v>
      </c>
      <c r="J27" s="76" t="s">
        <v>34</v>
      </c>
      <c r="K27" s="76" t="s">
        <v>63</v>
      </c>
      <c r="L27" s="76" t="s">
        <v>22</v>
      </c>
      <c r="M27" s="77">
        <v>45168</v>
      </c>
      <c r="N27" s="79">
        <f t="shared" si="0"/>
        <v>1499.95</v>
      </c>
    </row>
    <row r="28" spans="1:14" x14ac:dyDescent="0.25">
      <c r="A28" s="72" t="s">
        <v>111</v>
      </c>
      <c r="B28" s="73">
        <v>45424</v>
      </c>
      <c r="C28" s="72" t="s">
        <v>112</v>
      </c>
      <c r="D28" s="72" t="s">
        <v>113</v>
      </c>
      <c r="E28" s="72" t="s">
        <v>114</v>
      </c>
      <c r="F28" s="72" t="s">
        <v>115</v>
      </c>
      <c r="G28" s="72" t="s">
        <v>33</v>
      </c>
      <c r="H28" s="74">
        <v>3</v>
      </c>
      <c r="I28" s="75">
        <v>79.989999999999995</v>
      </c>
      <c r="J28" s="72" t="s">
        <v>34</v>
      </c>
      <c r="K28" s="72" t="s">
        <v>63</v>
      </c>
      <c r="L28" s="72" t="s">
        <v>27</v>
      </c>
      <c r="M28" s="73">
        <v>45012</v>
      </c>
      <c r="N28" s="75">
        <f t="shared" si="0"/>
        <v>239.96999999999997</v>
      </c>
    </row>
    <row r="29" spans="1:14" x14ac:dyDescent="0.25">
      <c r="A29" s="76" t="s">
        <v>116</v>
      </c>
      <c r="B29" s="77">
        <v>45424</v>
      </c>
      <c r="C29" s="76" t="s">
        <v>99</v>
      </c>
      <c r="D29" s="76" t="s">
        <v>100</v>
      </c>
      <c r="E29" s="76" t="s">
        <v>117</v>
      </c>
      <c r="F29" s="76" t="s">
        <v>118</v>
      </c>
      <c r="G29" s="76" t="s">
        <v>19</v>
      </c>
      <c r="H29" s="78">
        <v>5</v>
      </c>
      <c r="I29" s="79">
        <v>89.99</v>
      </c>
      <c r="J29" s="76" t="s">
        <v>20</v>
      </c>
      <c r="K29" s="76" t="s">
        <v>40</v>
      </c>
      <c r="L29" s="76" t="s">
        <v>27</v>
      </c>
      <c r="M29" s="77">
        <v>44919</v>
      </c>
      <c r="N29" s="79">
        <f t="shared" si="0"/>
        <v>449.95</v>
      </c>
    </row>
    <row r="30" spans="1:14" x14ac:dyDescent="0.25">
      <c r="A30" s="72" t="s">
        <v>119</v>
      </c>
      <c r="B30" s="73">
        <v>45425</v>
      </c>
      <c r="C30" s="72" t="s">
        <v>120</v>
      </c>
      <c r="D30" s="72" t="s">
        <v>121</v>
      </c>
      <c r="E30" s="72" t="s">
        <v>31</v>
      </c>
      <c r="F30" s="72" t="s">
        <v>32</v>
      </c>
      <c r="G30" s="72" t="s">
        <v>33</v>
      </c>
      <c r="H30" s="74">
        <v>2</v>
      </c>
      <c r="I30" s="75">
        <v>59.99</v>
      </c>
      <c r="J30" s="72" t="s">
        <v>57</v>
      </c>
      <c r="K30" s="72" t="s">
        <v>21</v>
      </c>
      <c r="L30" s="72" t="s">
        <v>36</v>
      </c>
      <c r="M30" s="73">
        <v>45214</v>
      </c>
      <c r="N30" s="75">
        <f t="shared" si="0"/>
        <v>119.98</v>
      </c>
    </row>
    <row r="31" spans="1:14" x14ac:dyDescent="0.25">
      <c r="A31" s="76" t="s">
        <v>122</v>
      </c>
      <c r="B31" s="77">
        <v>45427</v>
      </c>
      <c r="C31" s="76" t="s">
        <v>123</v>
      </c>
      <c r="D31" s="76" t="s">
        <v>124</v>
      </c>
      <c r="E31" s="76" t="s">
        <v>31</v>
      </c>
      <c r="F31" s="76" t="s">
        <v>32</v>
      </c>
      <c r="G31" s="76" t="s">
        <v>33</v>
      </c>
      <c r="H31" s="78">
        <v>4</v>
      </c>
      <c r="I31" s="79">
        <v>59.99</v>
      </c>
      <c r="J31" s="76" t="s">
        <v>57</v>
      </c>
      <c r="K31" s="76" t="s">
        <v>63</v>
      </c>
      <c r="L31" s="76" t="s">
        <v>36</v>
      </c>
      <c r="M31" s="77">
        <v>44867</v>
      </c>
      <c r="N31" s="79">
        <f t="shared" si="0"/>
        <v>239.96</v>
      </c>
    </row>
    <row r="32" spans="1:14" x14ac:dyDescent="0.25">
      <c r="A32" s="72" t="s">
        <v>125</v>
      </c>
      <c r="B32" s="73">
        <v>45427</v>
      </c>
      <c r="C32" s="72" t="s">
        <v>55</v>
      </c>
      <c r="D32" s="72" t="s">
        <v>56</v>
      </c>
      <c r="E32" s="72" t="s">
        <v>126</v>
      </c>
      <c r="F32" s="72" t="s">
        <v>127</v>
      </c>
      <c r="G32" s="72" t="s">
        <v>46</v>
      </c>
      <c r="H32" s="74">
        <v>5</v>
      </c>
      <c r="I32" s="75">
        <v>199.99</v>
      </c>
      <c r="J32" s="72" t="s">
        <v>20</v>
      </c>
      <c r="K32" s="72" t="s">
        <v>35</v>
      </c>
      <c r="L32" s="72" t="s">
        <v>36</v>
      </c>
      <c r="M32" s="73">
        <v>44412</v>
      </c>
      <c r="N32" s="75">
        <f t="shared" si="0"/>
        <v>999.95</v>
      </c>
    </row>
    <row r="33" spans="1:14" x14ac:dyDescent="0.25">
      <c r="A33" s="76" t="s">
        <v>128</v>
      </c>
      <c r="B33" s="77">
        <v>45428</v>
      </c>
      <c r="C33" s="76" t="s">
        <v>129</v>
      </c>
      <c r="D33" s="76" t="s">
        <v>130</v>
      </c>
      <c r="E33" s="76" t="s">
        <v>44</v>
      </c>
      <c r="F33" s="76" t="s">
        <v>45</v>
      </c>
      <c r="G33" s="76" t="s">
        <v>46</v>
      </c>
      <c r="H33" s="78">
        <v>2</v>
      </c>
      <c r="I33" s="79">
        <v>149.99</v>
      </c>
      <c r="J33" s="76" t="s">
        <v>26</v>
      </c>
      <c r="K33" s="76" t="s">
        <v>50</v>
      </c>
      <c r="L33" s="76" t="s">
        <v>22</v>
      </c>
      <c r="M33" s="77">
        <v>44823</v>
      </c>
      <c r="N33" s="79">
        <f t="shared" si="0"/>
        <v>299.98</v>
      </c>
    </row>
    <row r="34" spans="1:14" x14ac:dyDescent="0.25">
      <c r="A34" s="72" t="s">
        <v>131</v>
      </c>
      <c r="B34" s="73">
        <v>45430</v>
      </c>
      <c r="C34" s="72" t="s">
        <v>132</v>
      </c>
      <c r="D34" s="72" t="s">
        <v>133</v>
      </c>
      <c r="E34" s="72" t="s">
        <v>44</v>
      </c>
      <c r="F34" s="72" t="s">
        <v>45</v>
      </c>
      <c r="G34" s="72" t="s">
        <v>46</v>
      </c>
      <c r="H34" s="74">
        <v>3</v>
      </c>
      <c r="I34" s="75">
        <v>149.99</v>
      </c>
      <c r="J34" s="72" t="s">
        <v>26</v>
      </c>
      <c r="K34" s="72" t="s">
        <v>50</v>
      </c>
      <c r="L34" s="72" t="s">
        <v>27</v>
      </c>
      <c r="M34" s="73">
        <v>45068</v>
      </c>
      <c r="N34" s="75">
        <f t="shared" si="0"/>
        <v>449.97</v>
      </c>
    </row>
    <row r="35" spans="1:14" x14ac:dyDescent="0.25">
      <c r="A35" s="76" t="s">
        <v>134</v>
      </c>
      <c r="B35" s="77">
        <v>45432</v>
      </c>
      <c r="C35" s="76" t="s">
        <v>29</v>
      </c>
      <c r="D35" s="76" t="s">
        <v>30</v>
      </c>
      <c r="E35" s="76" t="s">
        <v>61</v>
      </c>
      <c r="F35" s="76" t="s">
        <v>62</v>
      </c>
      <c r="G35" s="76" t="s">
        <v>19</v>
      </c>
      <c r="H35" s="78">
        <v>1</v>
      </c>
      <c r="I35" s="79">
        <v>899.99</v>
      </c>
      <c r="J35" s="76" t="s">
        <v>26</v>
      </c>
      <c r="K35" s="76" t="s">
        <v>50</v>
      </c>
      <c r="L35" s="76" t="s">
        <v>27</v>
      </c>
      <c r="M35" s="77">
        <v>44578</v>
      </c>
      <c r="N35" s="79">
        <f t="shared" si="0"/>
        <v>899.99</v>
      </c>
    </row>
    <row r="36" spans="1:14" x14ac:dyDescent="0.25">
      <c r="A36" s="72" t="s">
        <v>135</v>
      </c>
      <c r="B36" s="73">
        <v>45434</v>
      </c>
      <c r="C36" s="72" t="s">
        <v>99</v>
      </c>
      <c r="D36" s="72" t="s">
        <v>100</v>
      </c>
      <c r="E36" s="72" t="s">
        <v>105</v>
      </c>
      <c r="F36" s="72" t="s">
        <v>106</v>
      </c>
      <c r="G36" s="72" t="s">
        <v>46</v>
      </c>
      <c r="H36" s="74">
        <v>3</v>
      </c>
      <c r="I36" s="75">
        <v>299.99</v>
      </c>
      <c r="J36" s="72" t="s">
        <v>26</v>
      </c>
      <c r="K36" s="72" t="s">
        <v>63</v>
      </c>
      <c r="L36" s="72" t="s">
        <v>22</v>
      </c>
      <c r="M36" s="73">
        <v>44824</v>
      </c>
      <c r="N36" s="75">
        <f t="shared" si="0"/>
        <v>899.97</v>
      </c>
    </row>
    <row r="37" spans="1:14" x14ac:dyDescent="0.25">
      <c r="A37" s="76" t="s">
        <v>136</v>
      </c>
      <c r="B37" s="77">
        <v>45435</v>
      </c>
      <c r="C37" s="76" t="s">
        <v>129</v>
      </c>
      <c r="D37" s="76" t="s">
        <v>130</v>
      </c>
      <c r="E37" s="76" t="s">
        <v>114</v>
      </c>
      <c r="F37" s="76" t="s">
        <v>115</v>
      </c>
      <c r="G37" s="76" t="s">
        <v>33</v>
      </c>
      <c r="H37" s="78">
        <v>3</v>
      </c>
      <c r="I37" s="79">
        <v>79.989999999999995</v>
      </c>
      <c r="J37" s="76" t="s">
        <v>20</v>
      </c>
      <c r="K37" s="76" t="s">
        <v>35</v>
      </c>
      <c r="L37" s="76" t="s">
        <v>22</v>
      </c>
      <c r="M37" s="77">
        <v>45046</v>
      </c>
      <c r="N37" s="79">
        <f t="shared" si="0"/>
        <v>239.96999999999997</v>
      </c>
    </row>
    <row r="38" spans="1:14" x14ac:dyDescent="0.25">
      <c r="A38" s="72" t="s">
        <v>137</v>
      </c>
      <c r="B38" s="73">
        <v>45438</v>
      </c>
      <c r="C38" s="72" t="s">
        <v>138</v>
      </c>
      <c r="D38" s="72" t="s">
        <v>139</v>
      </c>
      <c r="E38" s="72" t="s">
        <v>126</v>
      </c>
      <c r="F38" s="72" t="s">
        <v>127</v>
      </c>
      <c r="G38" s="72" t="s">
        <v>46</v>
      </c>
      <c r="H38" s="74">
        <v>3</v>
      </c>
      <c r="I38" s="75">
        <v>199.99</v>
      </c>
      <c r="J38" s="72" t="s">
        <v>26</v>
      </c>
      <c r="K38" s="72" t="s">
        <v>40</v>
      </c>
      <c r="L38" s="72" t="s">
        <v>27</v>
      </c>
      <c r="M38" s="73">
        <v>45292</v>
      </c>
      <c r="N38" s="75">
        <f t="shared" si="0"/>
        <v>599.97</v>
      </c>
    </row>
    <row r="39" spans="1:14" x14ac:dyDescent="0.25">
      <c r="A39" s="76" t="s">
        <v>140</v>
      </c>
      <c r="B39" s="77">
        <v>45440</v>
      </c>
      <c r="C39" s="76" t="s">
        <v>141</v>
      </c>
      <c r="D39" s="76" t="s">
        <v>142</v>
      </c>
      <c r="E39" s="76" t="s">
        <v>80</v>
      </c>
      <c r="F39" s="76" t="s">
        <v>81</v>
      </c>
      <c r="G39" s="76" t="s">
        <v>19</v>
      </c>
      <c r="H39" s="78">
        <v>5</v>
      </c>
      <c r="I39" s="79">
        <v>699.99</v>
      </c>
      <c r="J39" s="76" t="s">
        <v>34</v>
      </c>
      <c r="K39" s="76" t="s">
        <v>50</v>
      </c>
      <c r="L39" s="76" t="s">
        <v>36</v>
      </c>
      <c r="M39" s="77">
        <v>44407</v>
      </c>
      <c r="N39" s="79">
        <f t="shared" si="0"/>
        <v>3499.95</v>
      </c>
    </row>
    <row r="40" spans="1:14" x14ac:dyDescent="0.25">
      <c r="A40" s="72" t="s">
        <v>143</v>
      </c>
      <c r="B40" s="73">
        <v>45441</v>
      </c>
      <c r="C40" s="72" t="s">
        <v>144</v>
      </c>
      <c r="D40" s="72" t="s">
        <v>145</v>
      </c>
      <c r="E40" s="72" t="s">
        <v>117</v>
      </c>
      <c r="F40" s="72" t="s">
        <v>118</v>
      </c>
      <c r="G40" s="72" t="s">
        <v>19</v>
      </c>
      <c r="H40" s="74">
        <v>3</v>
      </c>
      <c r="I40" s="75">
        <v>89.99</v>
      </c>
      <c r="J40" s="72" t="s">
        <v>34</v>
      </c>
      <c r="K40" s="72" t="s">
        <v>21</v>
      </c>
      <c r="L40" s="72" t="s">
        <v>27</v>
      </c>
      <c r="M40" s="73">
        <v>45120</v>
      </c>
      <c r="N40" s="75">
        <f t="shared" si="0"/>
        <v>269.96999999999997</v>
      </c>
    </row>
    <row r="41" spans="1:14" x14ac:dyDescent="0.25">
      <c r="A41" s="76" t="s">
        <v>146</v>
      </c>
      <c r="B41" s="77">
        <v>45443</v>
      </c>
      <c r="C41" s="76" t="s">
        <v>147</v>
      </c>
      <c r="D41" s="76" t="s">
        <v>148</v>
      </c>
      <c r="E41" s="76" t="s">
        <v>114</v>
      </c>
      <c r="F41" s="76" t="s">
        <v>115</v>
      </c>
      <c r="G41" s="76" t="s">
        <v>33</v>
      </c>
      <c r="H41" s="78">
        <v>1</v>
      </c>
      <c r="I41" s="79">
        <v>79.989999999999995</v>
      </c>
      <c r="J41" s="76" t="s">
        <v>20</v>
      </c>
      <c r="K41" s="76" t="s">
        <v>40</v>
      </c>
      <c r="L41" s="76" t="s">
        <v>36</v>
      </c>
      <c r="M41" s="77">
        <v>44917</v>
      </c>
      <c r="N41" s="79">
        <f t="shared" si="0"/>
        <v>79.989999999999995</v>
      </c>
    </row>
    <row r="42" spans="1:14" x14ac:dyDescent="0.25">
      <c r="A42" s="72" t="s">
        <v>149</v>
      </c>
      <c r="B42" s="73">
        <v>45444</v>
      </c>
      <c r="C42" s="72" t="s">
        <v>150</v>
      </c>
      <c r="D42" s="72" t="s">
        <v>151</v>
      </c>
      <c r="E42" s="72" t="s">
        <v>31</v>
      </c>
      <c r="F42" s="72" t="s">
        <v>32</v>
      </c>
      <c r="G42" s="72" t="s">
        <v>33</v>
      </c>
      <c r="H42" s="74">
        <v>2</v>
      </c>
      <c r="I42" s="75">
        <v>59.99</v>
      </c>
      <c r="J42" s="72" t="s">
        <v>20</v>
      </c>
      <c r="K42" s="72" t="s">
        <v>50</v>
      </c>
      <c r="L42" s="72" t="s">
        <v>22</v>
      </c>
      <c r="M42" s="73">
        <v>45390</v>
      </c>
      <c r="N42" s="75">
        <f t="shared" si="0"/>
        <v>119.98</v>
      </c>
    </row>
    <row r="43" spans="1:14" x14ac:dyDescent="0.25">
      <c r="A43" s="76" t="s">
        <v>152</v>
      </c>
      <c r="B43" s="77">
        <v>45444</v>
      </c>
      <c r="C43" s="76" t="s">
        <v>55</v>
      </c>
      <c r="D43" s="76" t="s">
        <v>56</v>
      </c>
      <c r="E43" s="76" t="s">
        <v>117</v>
      </c>
      <c r="F43" s="76" t="s">
        <v>118</v>
      </c>
      <c r="G43" s="76" t="s">
        <v>19</v>
      </c>
      <c r="H43" s="78">
        <v>1</v>
      </c>
      <c r="I43" s="79">
        <v>89.99</v>
      </c>
      <c r="J43" s="76" t="s">
        <v>20</v>
      </c>
      <c r="K43" s="76" t="s">
        <v>40</v>
      </c>
      <c r="L43" s="76" t="s">
        <v>22</v>
      </c>
      <c r="M43" s="77">
        <v>45141</v>
      </c>
      <c r="N43" s="79">
        <f t="shared" si="0"/>
        <v>89.99</v>
      </c>
    </row>
    <row r="44" spans="1:14" x14ac:dyDescent="0.25">
      <c r="A44" s="72" t="s">
        <v>153</v>
      </c>
      <c r="B44" s="73">
        <v>45446</v>
      </c>
      <c r="C44" s="72" t="s">
        <v>154</v>
      </c>
      <c r="D44" s="72" t="s">
        <v>155</v>
      </c>
      <c r="E44" s="72" t="s">
        <v>117</v>
      </c>
      <c r="F44" s="72" t="s">
        <v>118</v>
      </c>
      <c r="G44" s="72" t="s">
        <v>19</v>
      </c>
      <c r="H44" s="74">
        <v>5</v>
      </c>
      <c r="I44" s="75">
        <v>89.99</v>
      </c>
      <c r="J44" s="72" t="s">
        <v>26</v>
      </c>
      <c r="K44" s="72" t="s">
        <v>63</v>
      </c>
      <c r="L44" s="72" t="s">
        <v>36</v>
      </c>
      <c r="M44" s="73">
        <v>44587</v>
      </c>
      <c r="N44" s="75">
        <f t="shared" si="0"/>
        <v>449.95</v>
      </c>
    </row>
    <row r="45" spans="1:14" x14ac:dyDescent="0.25">
      <c r="A45" s="76" t="s">
        <v>156</v>
      </c>
      <c r="B45" s="77">
        <v>45449</v>
      </c>
      <c r="C45" s="76" t="s">
        <v>24</v>
      </c>
      <c r="D45" s="76" t="s">
        <v>25</v>
      </c>
      <c r="E45" s="76" t="s">
        <v>17</v>
      </c>
      <c r="F45" s="76" t="s">
        <v>18</v>
      </c>
      <c r="G45" s="76" t="s">
        <v>19</v>
      </c>
      <c r="H45" s="78">
        <v>5</v>
      </c>
      <c r="I45" s="79">
        <v>249.99</v>
      </c>
      <c r="J45" s="76" t="s">
        <v>26</v>
      </c>
      <c r="K45" s="76" t="s">
        <v>63</v>
      </c>
      <c r="L45" s="76" t="s">
        <v>36</v>
      </c>
      <c r="M45" s="77">
        <v>44707</v>
      </c>
      <c r="N45" s="79">
        <f t="shared" si="0"/>
        <v>1249.95</v>
      </c>
    </row>
    <row r="46" spans="1:14" x14ac:dyDescent="0.25">
      <c r="A46" s="72" t="s">
        <v>157</v>
      </c>
      <c r="B46" s="73">
        <v>45449</v>
      </c>
      <c r="C46" s="72" t="s">
        <v>158</v>
      </c>
      <c r="D46" s="72" t="s">
        <v>159</v>
      </c>
      <c r="E46" s="72" t="s">
        <v>117</v>
      </c>
      <c r="F46" s="72" t="s">
        <v>118</v>
      </c>
      <c r="G46" s="72" t="s">
        <v>19</v>
      </c>
      <c r="H46" s="74">
        <v>1</v>
      </c>
      <c r="I46" s="75">
        <v>89.99</v>
      </c>
      <c r="J46" s="72" t="s">
        <v>26</v>
      </c>
      <c r="K46" s="72" t="s">
        <v>35</v>
      </c>
      <c r="L46" s="72" t="s">
        <v>36</v>
      </c>
      <c r="M46" s="73">
        <v>44582</v>
      </c>
      <c r="N46" s="75">
        <f t="shared" si="0"/>
        <v>89.99</v>
      </c>
    </row>
    <row r="47" spans="1:14" x14ac:dyDescent="0.25">
      <c r="A47" s="76" t="s">
        <v>160</v>
      </c>
      <c r="B47" s="77">
        <v>45450</v>
      </c>
      <c r="C47" s="76" t="s">
        <v>42</v>
      </c>
      <c r="D47" s="76" t="s">
        <v>43</v>
      </c>
      <c r="E47" s="76" t="s">
        <v>44</v>
      </c>
      <c r="F47" s="76" t="s">
        <v>45</v>
      </c>
      <c r="G47" s="76" t="s">
        <v>46</v>
      </c>
      <c r="H47" s="78">
        <v>2</v>
      </c>
      <c r="I47" s="79">
        <v>149.99</v>
      </c>
      <c r="J47" s="76" t="s">
        <v>20</v>
      </c>
      <c r="K47" s="76" t="s">
        <v>63</v>
      </c>
      <c r="L47" s="76" t="s">
        <v>27</v>
      </c>
      <c r="M47" s="77">
        <v>44645</v>
      </c>
      <c r="N47" s="79">
        <f t="shared" si="0"/>
        <v>299.98</v>
      </c>
    </row>
    <row r="48" spans="1:14" x14ac:dyDescent="0.25">
      <c r="A48" s="72" t="s">
        <v>161</v>
      </c>
      <c r="B48" s="73">
        <v>45452</v>
      </c>
      <c r="C48" s="72" t="s">
        <v>162</v>
      </c>
      <c r="D48" s="72" t="s">
        <v>163</v>
      </c>
      <c r="E48" s="72" t="s">
        <v>31</v>
      </c>
      <c r="F48" s="72" t="s">
        <v>32</v>
      </c>
      <c r="G48" s="72" t="s">
        <v>33</v>
      </c>
      <c r="H48" s="74">
        <v>4</v>
      </c>
      <c r="I48" s="75">
        <v>59.99</v>
      </c>
      <c r="J48" s="72" t="s">
        <v>20</v>
      </c>
      <c r="K48" s="72" t="s">
        <v>63</v>
      </c>
      <c r="L48" s="72" t="s">
        <v>36</v>
      </c>
      <c r="M48" s="73">
        <v>44435</v>
      </c>
      <c r="N48" s="75">
        <f t="shared" si="0"/>
        <v>239.96</v>
      </c>
    </row>
    <row r="49" spans="1:14" x14ac:dyDescent="0.25">
      <c r="A49" s="76" t="s">
        <v>164</v>
      </c>
      <c r="B49" s="77">
        <v>45456</v>
      </c>
      <c r="C49" s="76" t="s">
        <v>129</v>
      </c>
      <c r="D49" s="76" t="s">
        <v>130</v>
      </c>
      <c r="E49" s="76" t="s">
        <v>117</v>
      </c>
      <c r="F49" s="76" t="s">
        <v>118</v>
      </c>
      <c r="G49" s="76" t="s">
        <v>19</v>
      </c>
      <c r="H49" s="78">
        <v>5</v>
      </c>
      <c r="I49" s="79">
        <v>89.99</v>
      </c>
      <c r="J49" s="76" t="s">
        <v>20</v>
      </c>
      <c r="K49" s="76" t="s">
        <v>21</v>
      </c>
      <c r="L49" s="76" t="s">
        <v>27</v>
      </c>
      <c r="M49" s="77">
        <v>44579</v>
      </c>
      <c r="N49" s="79">
        <f t="shared" si="0"/>
        <v>449.95</v>
      </c>
    </row>
    <row r="50" spans="1:14" x14ac:dyDescent="0.25">
      <c r="A50" s="72" t="s">
        <v>165</v>
      </c>
      <c r="B50" s="73">
        <v>45459</v>
      </c>
      <c r="C50" s="72" t="s">
        <v>99</v>
      </c>
      <c r="D50" s="72" t="s">
        <v>100</v>
      </c>
      <c r="E50" s="72" t="s">
        <v>117</v>
      </c>
      <c r="F50" s="72" t="s">
        <v>118</v>
      </c>
      <c r="G50" s="72" t="s">
        <v>19</v>
      </c>
      <c r="H50" s="74">
        <v>2</v>
      </c>
      <c r="I50" s="75">
        <v>89.99</v>
      </c>
      <c r="J50" s="72" t="s">
        <v>26</v>
      </c>
      <c r="K50" s="72" t="s">
        <v>35</v>
      </c>
      <c r="L50" s="72" t="s">
        <v>27</v>
      </c>
      <c r="M50" s="73">
        <v>44471</v>
      </c>
      <c r="N50" s="75">
        <f t="shared" si="0"/>
        <v>179.98</v>
      </c>
    </row>
    <row r="51" spans="1:14" x14ac:dyDescent="0.25">
      <c r="A51" s="76" t="s">
        <v>166</v>
      </c>
      <c r="B51" s="77">
        <v>45459</v>
      </c>
      <c r="C51" s="76" t="s">
        <v>15</v>
      </c>
      <c r="D51" s="76" t="s">
        <v>16</v>
      </c>
      <c r="E51" s="76" t="s">
        <v>61</v>
      </c>
      <c r="F51" s="76" t="s">
        <v>62</v>
      </c>
      <c r="G51" s="76" t="s">
        <v>19</v>
      </c>
      <c r="H51" s="78">
        <v>5</v>
      </c>
      <c r="I51" s="79">
        <v>899.99</v>
      </c>
      <c r="J51" s="76" t="s">
        <v>26</v>
      </c>
      <c r="K51" s="76" t="s">
        <v>35</v>
      </c>
      <c r="L51" s="76" t="s">
        <v>36</v>
      </c>
      <c r="M51" s="77">
        <v>44974</v>
      </c>
      <c r="N51" s="79">
        <f t="shared" si="0"/>
        <v>4499.95</v>
      </c>
    </row>
    <row r="52" spans="1:14" x14ac:dyDescent="0.25">
      <c r="A52" s="72" t="s">
        <v>167</v>
      </c>
      <c r="B52" s="73">
        <v>45459</v>
      </c>
      <c r="C52" s="72" t="s">
        <v>123</v>
      </c>
      <c r="D52" s="72" t="s">
        <v>124</v>
      </c>
      <c r="E52" s="72" t="s">
        <v>61</v>
      </c>
      <c r="F52" s="72" t="s">
        <v>62</v>
      </c>
      <c r="G52" s="72" t="s">
        <v>19</v>
      </c>
      <c r="H52" s="74">
        <v>5</v>
      </c>
      <c r="I52" s="75">
        <v>899.99</v>
      </c>
      <c r="J52" s="72" t="s">
        <v>34</v>
      </c>
      <c r="K52" s="72" t="s">
        <v>63</v>
      </c>
      <c r="L52" s="72" t="s">
        <v>27</v>
      </c>
      <c r="M52" s="73">
        <v>45278</v>
      </c>
      <c r="N52" s="75">
        <f t="shared" si="0"/>
        <v>4499.95</v>
      </c>
    </row>
    <row r="53" spans="1:14" x14ac:dyDescent="0.25">
      <c r="A53" s="76" t="s">
        <v>168</v>
      </c>
      <c r="B53" s="77">
        <v>45460</v>
      </c>
      <c r="C53" s="76" t="s">
        <v>158</v>
      </c>
      <c r="D53" s="76" t="s">
        <v>159</v>
      </c>
      <c r="E53" s="76" t="s">
        <v>31</v>
      </c>
      <c r="F53" s="76" t="s">
        <v>32</v>
      </c>
      <c r="G53" s="76" t="s">
        <v>33</v>
      </c>
      <c r="H53" s="78">
        <v>1</v>
      </c>
      <c r="I53" s="79">
        <v>59.99</v>
      </c>
      <c r="J53" s="76" t="s">
        <v>57</v>
      </c>
      <c r="K53" s="76" t="s">
        <v>50</v>
      </c>
      <c r="L53" s="76" t="s">
        <v>27</v>
      </c>
      <c r="M53" s="77">
        <v>45190</v>
      </c>
      <c r="N53" s="79">
        <f t="shared" si="0"/>
        <v>59.99</v>
      </c>
    </row>
    <row r="54" spans="1:14" x14ac:dyDescent="0.25">
      <c r="A54" s="72" t="s">
        <v>169</v>
      </c>
      <c r="B54" s="73">
        <v>45460</v>
      </c>
      <c r="C54" s="72" t="s">
        <v>141</v>
      </c>
      <c r="D54" s="72" t="s">
        <v>142</v>
      </c>
      <c r="E54" s="72" t="s">
        <v>105</v>
      </c>
      <c r="F54" s="72" t="s">
        <v>106</v>
      </c>
      <c r="G54" s="72" t="s">
        <v>46</v>
      </c>
      <c r="H54" s="74">
        <v>2</v>
      </c>
      <c r="I54" s="75">
        <v>299.99</v>
      </c>
      <c r="J54" s="72" t="s">
        <v>57</v>
      </c>
      <c r="K54" s="72" t="s">
        <v>63</v>
      </c>
      <c r="L54" s="72" t="s">
        <v>36</v>
      </c>
      <c r="M54" s="73">
        <v>45253</v>
      </c>
      <c r="N54" s="75">
        <f t="shared" si="0"/>
        <v>599.98</v>
      </c>
    </row>
    <row r="55" spans="1:14" x14ac:dyDescent="0.25">
      <c r="A55" s="76" t="s">
        <v>170</v>
      </c>
      <c r="B55" s="77">
        <v>45468</v>
      </c>
      <c r="C55" s="76" t="s">
        <v>171</v>
      </c>
      <c r="D55" s="76" t="s">
        <v>172</v>
      </c>
      <c r="E55" s="76" t="s">
        <v>117</v>
      </c>
      <c r="F55" s="76" t="s">
        <v>118</v>
      </c>
      <c r="G55" s="76" t="s">
        <v>19</v>
      </c>
      <c r="H55" s="78">
        <v>4</v>
      </c>
      <c r="I55" s="79">
        <v>89.99</v>
      </c>
      <c r="J55" s="76" t="s">
        <v>57</v>
      </c>
      <c r="K55" s="76" t="s">
        <v>35</v>
      </c>
      <c r="L55" s="76" t="s">
        <v>22</v>
      </c>
      <c r="M55" s="77">
        <v>45281</v>
      </c>
      <c r="N55" s="79">
        <f t="shared" si="0"/>
        <v>359.96</v>
      </c>
    </row>
    <row r="56" spans="1:14" x14ac:dyDescent="0.25">
      <c r="A56" s="72" t="s">
        <v>173</v>
      </c>
      <c r="B56" s="73">
        <v>45469</v>
      </c>
      <c r="C56" s="72" t="s">
        <v>29</v>
      </c>
      <c r="D56" s="72" t="s">
        <v>30</v>
      </c>
      <c r="E56" s="72" t="s">
        <v>114</v>
      </c>
      <c r="F56" s="72" t="s">
        <v>115</v>
      </c>
      <c r="G56" s="72" t="s">
        <v>33</v>
      </c>
      <c r="H56" s="74">
        <v>1</v>
      </c>
      <c r="I56" s="75">
        <v>79.989999999999995</v>
      </c>
      <c r="J56" s="72" t="s">
        <v>34</v>
      </c>
      <c r="K56" s="72" t="s">
        <v>21</v>
      </c>
      <c r="L56" s="72" t="s">
        <v>27</v>
      </c>
      <c r="M56" s="73">
        <v>45352</v>
      </c>
      <c r="N56" s="75">
        <f t="shared" si="0"/>
        <v>79.989999999999995</v>
      </c>
    </row>
    <row r="57" spans="1:14" x14ac:dyDescent="0.25">
      <c r="A57" s="76" t="s">
        <v>174</v>
      </c>
      <c r="B57" s="77">
        <v>45469</v>
      </c>
      <c r="C57" s="76" t="s">
        <v>59</v>
      </c>
      <c r="D57" s="76" t="s">
        <v>60</v>
      </c>
      <c r="E57" s="76" t="s">
        <v>117</v>
      </c>
      <c r="F57" s="76" t="s">
        <v>118</v>
      </c>
      <c r="G57" s="76" t="s">
        <v>19</v>
      </c>
      <c r="H57" s="78">
        <v>2</v>
      </c>
      <c r="I57" s="79">
        <v>89.99</v>
      </c>
      <c r="J57" s="76" t="s">
        <v>20</v>
      </c>
      <c r="K57" s="76" t="s">
        <v>50</v>
      </c>
      <c r="L57" s="76" t="s">
        <v>22</v>
      </c>
      <c r="M57" s="77">
        <v>44438</v>
      </c>
      <c r="N57" s="79">
        <f t="shared" si="0"/>
        <v>179.98</v>
      </c>
    </row>
    <row r="58" spans="1:14" x14ac:dyDescent="0.25">
      <c r="A58" s="72" t="s">
        <v>175</v>
      </c>
      <c r="B58" s="73">
        <v>45471</v>
      </c>
      <c r="C58" s="72" t="s">
        <v>38</v>
      </c>
      <c r="D58" s="72" t="s">
        <v>39</v>
      </c>
      <c r="E58" s="72" t="s">
        <v>80</v>
      </c>
      <c r="F58" s="72" t="s">
        <v>81</v>
      </c>
      <c r="G58" s="72" t="s">
        <v>19</v>
      </c>
      <c r="H58" s="74">
        <v>3</v>
      </c>
      <c r="I58" s="75">
        <v>699.99</v>
      </c>
      <c r="J58" s="72" t="s">
        <v>26</v>
      </c>
      <c r="K58" s="72" t="s">
        <v>63</v>
      </c>
      <c r="L58" s="72" t="s">
        <v>27</v>
      </c>
      <c r="M58" s="73">
        <v>45102</v>
      </c>
      <c r="N58" s="75">
        <f t="shared" si="0"/>
        <v>2099.9700000000003</v>
      </c>
    </row>
    <row r="59" spans="1:14" x14ac:dyDescent="0.25">
      <c r="A59" s="76" t="s">
        <v>176</v>
      </c>
      <c r="B59" s="77">
        <v>45471</v>
      </c>
      <c r="C59" s="76" t="s">
        <v>99</v>
      </c>
      <c r="D59" s="76" t="s">
        <v>100</v>
      </c>
      <c r="E59" s="76" t="s">
        <v>61</v>
      </c>
      <c r="F59" s="76" t="s">
        <v>62</v>
      </c>
      <c r="G59" s="76" t="s">
        <v>19</v>
      </c>
      <c r="H59" s="78">
        <v>4</v>
      </c>
      <c r="I59" s="79">
        <v>899.99</v>
      </c>
      <c r="J59" s="76" t="s">
        <v>26</v>
      </c>
      <c r="K59" s="76" t="s">
        <v>63</v>
      </c>
      <c r="L59" s="76" t="s">
        <v>27</v>
      </c>
      <c r="M59" s="77">
        <v>44993</v>
      </c>
      <c r="N59" s="79">
        <f t="shared" si="0"/>
        <v>3599.96</v>
      </c>
    </row>
    <row r="60" spans="1:14" x14ac:dyDescent="0.25">
      <c r="A60" s="72" t="s">
        <v>177</v>
      </c>
      <c r="B60" s="73">
        <v>45472</v>
      </c>
      <c r="C60" s="72" t="s">
        <v>120</v>
      </c>
      <c r="D60" s="72" t="s">
        <v>121</v>
      </c>
      <c r="E60" s="72" t="s">
        <v>44</v>
      </c>
      <c r="F60" s="72" t="s">
        <v>45</v>
      </c>
      <c r="G60" s="72" t="s">
        <v>46</v>
      </c>
      <c r="H60" s="74">
        <v>1</v>
      </c>
      <c r="I60" s="75">
        <v>149.99</v>
      </c>
      <c r="J60" s="72" t="s">
        <v>34</v>
      </c>
      <c r="K60" s="72" t="s">
        <v>63</v>
      </c>
      <c r="L60" s="72" t="s">
        <v>22</v>
      </c>
      <c r="M60" s="73">
        <v>44851</v>
      </c>
      <c r="N60" s="75">
        <f t="shared" si="0"/>
        <v>149.99</v>
      </c>
    </row>
    <row r="61" spans="1:14" x14ac:dyDescent="0.25">
      <c r="A61" s="76" t="s">
        <v>178</v>
      </c>
      <c r="B61" s="77">
        <v>45474</v>
      </c>
      <c r="C61" s="76" t="s">
        <v>132</v>
      </c>
      <c r="D61" s="76" t="s">
        <v>133</v>
      </c>
      <c r="E61" s="76" t="s">
        <v>117</v>
      </c>
      <c r="F61" s="76" t="s">
        <v>118</v>
      </c>
      <c r="G61" s="76" t="s">
        <v>19</v>
      </c>
      <c r="H61" s="78">
        <v>2</v>
      </c>
      <c r="I61" s="79">
        <v>89.99</v>
      </c>
      <c r="J61" s="76" t="s">
        <v>34</v>
      </c>
      <c r="K61" s="76" t="s">
        <v>21</v>
      </c>
      <c r="L61" s="76" t="s">
        <v>27</v>
      </c>
      <c r="M61" s="77">
        <v>45275</v>
      </c>
      <c r="N61" s="79">
        <f t="shared" si="0"/>
        <v>179.98</v>
      </c>
    </row>
    <row r="62" spans="1:14" x14ac:dyDescent="0.25">
      <c r="A62" s="72" t="s">
        <v>179</v>
      </c>
      <c r="B62" s="73">
        <v>45475</v>
      </c>
      <c r="C62" s="72" t="s">
        <v>55</v>
      </c>
      <c r="D62" s="72" t="s">
        <v>56</v>
      </c>
      <c r="E62" s="72" t="s">
        <v>117</v>
      </c>
      <c r="F62" s="72" t="s">
        <v>118</v>
      </c>
      <c r="G62" s="72" t="s">
        <v>19</v>
      </c>
      <c r="H62" s="74">
        <v>1</v>
      </c>
      <c r="I62" s="75">
        <v>89.99</v>
      </c>
      <c r="J62" s="72" t="s">
        <v>34</v>
      </c>
      <c r="K62" s="72" t="s">
        <v>50</v>
      </c>
      <c r="L62" s="72" t="s">
        <v>36</v>
      </c>
      <c r="M62" s="73">
        <v>44802</v>
      </c>
      <c r="N62" s="75">
        <f t="shared" si="0"/>
        <v>89.99</v>
      </c>
    </row>
    <row r="63" spans="1:14" x14ac:dyDescent="0.25">
      <c r="A63" s="76" t="s">
        <v>180</v>
      </c>
      <c r="B63" s="77">
        <v>45476</v>
      </c>
      <c r="C63" s="76" t="s">
        <v>68</v>
      </c>
      <c r="D63" s="76" t="s">
        <v>69</v>
      </c>
      <c r="E63" s="76" t="s">
        <v>117</v>
      </c>
      <c r="F63" s="76" t="s">
        <v>118</v>
      </c>
      <c r="G63" s="76" t="s">
        <v>19</v>
      </c>
      <c r="H63" s="78">
        <v>1</v>
      </c>
      <c r="I63" s="79">
        <v>89.99</v>
      </c>
      <c r="J63" s="76" t="s">
        <v>20</v>
      </c>
      <c r="K63" s="76" t="s">
        <v>35</v>
      </c>
      <c r="L63" s="76" t="s">
        <v>36</v>
      </c>
      <c r="M63" s="77">
        <v>44611</v>
      </c>
      <c r="N63" s="79">
        <f t="shared" si="0"/>
        <v>89.99</v>
      </c>
    </row>
    <row r="64" spans="1:14" x14ac:dyDescent="0.25">
      <c r="A64" s="72" t="s">
        <v>181</v>
      </c>
      <c r="B64" s="73">
        <v>45476</v>
      </c>
      <c r="C64" s="72" t="s">
        <v>182</v>
      </c>
      <c r="D64" s="72" t="s">
        <v>183</v>
      </c>
      <c r="E64" s="72" t="s">
        <v>114</v>
      </c>
      <c r="F64" s="72" t="s">
        <v>115</v>
      </c>
      <c r="G64" s="72" t="s">
        <v>33</v>
      </c>
      <c r="H64" s="74">
        <v>5</v>
      </c>
      <c r="I64" s="75">
        <v>79.989999999999995</v>
      </c>
      <c r="J64" s="72" t="s">
        <v>57</v>
      </c>
      <c r="K64" s="72" t="s">
        <v>21</v>
      </c>
      <c r="L64" s="72" t="s">
        <v>22</v>
      </c>
      <c r="M64" s="73">
        <v>44981</v>
      </c>
      <c r="N64" s="75">
        <f t="shared" si="0"/>
        <v>399.95</v>
      </c>
    </row>
    <row r="65" spans="1:14" x14ac:dyDescent="0.25">
      <c r="A65" s="76" t="s">
        <v>184</v>
      </c>
      <c r="B65" s="77">
        <v>45481</v>
      </c>
      <c r="C65" s="76" t="s">
        <v>185</v>
      </c>
      <c r="D65" s="76" t="s">
        <v>186</v>
      </c>
      <c r="E65" s="76" t="s">
        <v>44</v>
      </c>
      <c r="F65" s="76" t="s">
        <v>45</v>
      </c>
      <c r="G65" s="76" t="s">
        <v>46</v>
      </c>
      <c r="H65" s="78">
        <v>1</v>
      </c>
      <c r="I65" s="79">
        <v>149.99</v>
      </c>
      <c r="J65" s="76" t="s">
        <v>34</v>
      </c>
      <c r="K65" s="76" t="s">
        <v>40</v>
      </c>
      <c r="L65" s="76" t="s">
        <v>22</v>
      </c>
      <c r="M65" s="77">
        <v>44421</v>
      </c>
      <c r="N65" s="79">
        <f t="shared" si="0"/>
        <v>149.99</v>
      </c>
    </row>
    <row r="66" spans="1:14" x14ac:dyDescent="0.25">
      <c r="A66" s="72" t="s">
        <v>187</v>
      </c>
      <c r="B66" s="73">
        <v>45481</v>
      </c>
      <c r="C66" s="72" t="s">
        <v>42</v>
      </c>
      <c r="D66" s="72" t="s">
        <v>43</v>
      </c>
      <c r="E66" s="72" t="s">
        <v>80</v>
      </c>
      <c r="F66" s="72" t="s">
        <v>81</v>
      </c>
      <c r="G66" s="72" t="s">
        <v>19</v>
      </c>
      <c r="H66" s="74">
        <v>2</v>
      </c>
      <c r="I66" s="75">
        <v>699.99</v>
      </c>
      <c r="J66" s="72" t="s">
        <v>34</v>
      </c>
      <c r="K66" s="72" t="s">
        <v>63</v>
      </c>
      <c r="L66" s="72" t="s">
        <v>27</v>
      </c>
      <c r="M66" s="73">
        <v>45389</v>
      </c>
      <c r="N66" s="75">
        <f t="shared" si="0"/>
        <v>1399.98</v>
      </c>
    </row>
    <row r="67" spans="1:14" x14ac:dyDescent="0.25">
      <c r="A67" s="76" t="s">
        <v>188</v>
      </c>
      <c r="B67" s="77">
        <v>45481</v>
      </c>
      <c r="C67" s="76" t="s">
        <v>96</v>
      </c>
      <c r="D67" s="76" t="s">
        <v>97</v>
      </c>
      <c r="E67" s="76" t="s">
        <v>117</v>
      </c>
      <c r="F67" s="76" t="s">
        <v>118</v>
      </c>
      <c r="G67" s="76" t="s">
        <v>19</v>
      </c>
      <c r="H67" s="78">
        <v>5</v>
      </c>
      <c r="I67" s="79">
        <v>89.99</v>
      </c>
      <c r="J67" s="76" t="s">
        <v>57</v>
      </c>
      <c r="K67" s="76" t="s">
        <v>40</v>
      </c>
      <c r="L67" s="76" t="s">
        <v>27</v>
      </c>
      <c r="M67" s="77">
        <v>45161</v>
      </c>
      <c r="N67" s="79">
        <f t="shared" ref="N67:N130" si="1">H67*I67</f>
        <v>449.95</v>
      </c>
    </row>
    <row r="68" spans="1:14" x14ac:dyDescent="0.25">
      <c r="A68" s="72" t="s">
        <v>189</v>
      </c>
      <c r="B68" s="73">
        <v>45482</v>
      </c>
      <c r="C68" s="72" t="s">
        <v>171</v>
      </c>
      <c r="D68" s="72" t="s">
        <v>172</v>
      </c>
      <c r="E68" s="72" t="s">
        <v>31</v>
      </c>
      <c r="F68" s="72" t="s">
        <v>32</v>
      </c>
      <c r="G68" s="72" t="s">
        <v>33</v>
      </c>
      <c r="H68" s="74">
        <v>4</v>
      </c>
      <c r="I68" s="75">
        <v>59.99</v>
      </c>
      <c r="J68" s="72" t="s">
        <v>20</v>
      </c>
      <c r="K68" s="72" t="s">
        <v>35</v>
      </c>
      <c r="L68" s="72" t="s">
        <v>36</v>
      </c>
      <c r="M68" s="73">
        <v>44509</v>
      </c>
      <c r="N68" s="75">
        <f t="shared" si="1"/>
        <v>239.96</v>
      </c>
    </row>
    <row r="69" spans="1:14" x14ac:dyDescent="0.25">
      <c r="A69" s="76" t="s">
        <v>190</v>
      </c>
      <c r="B69" s="77">
        <v>45484</v>
      </c>
      <c r="C69" s="76" t="s">
        <v>24</v>
      </c>
      <c r="D69" s="76" t="s">
        <v>25</v>
      </c>
      <c r="E69" s="76" t="s">
        <v>52</v>
      </c>
      <c r="F69" s="76" t="s">
        <v>53</v>
      </c>
      <c r="G69" s="76" t="s">
        <v>19</v>
      </c>
      <c r="H69" s="78">
        <v>1</v>
      </c>
      <c r="I69" s="79">
        <v>149.99</v>
      </c>
      <c r="J69" s="76" t="s">
        <v>20</v>
      </c>
      <c r="K69" s="76" t="s">
        <v>21</v>
      </c>
      <c r="L69" s="76" t="s">
        <v>36</v>
      </c>
      <c r="M69" s="77">
        <v>44909</v>
      </c>
      <c r="N69" s="79">
        <f t="shared" si="1"/>
        <v>149.99</v>
      </c>
    </row>
    <row r="70" spans="1:14" x14ac:dyDescent="0.25">
      <c r="A70" s="72" t="s">
        <v>191</v>
      </c>
      <c r="B70" s="73">
        <v>45484</v>
      </c>
      <c r="C70" s="72" t="s">
        <v>192</v>
      </c>
      <c r="D70" s="72" t="s">
        <v>193</v>
      </c>
      <c r="E70" s="72" t="s">
        <v>105</v>
      </c>
      <c r="F70" s="72" t="s">
        <v>106</v>
      </c>
      <c r="G70" s="72" t="s">
        <v>46</v>
      </c>
      <c r="H70" s="74">
        <v>1</v>
      </c>
      <c r="I70" s="75">
        <v>299.99</v>
      </c>
      <c r="J70" s="72" t="s">
        <v>26</v>
      </c>
      <c r="K70" s="72" t="s">
        <v>40</v>
      </c>
      <c r="L70" s="72" t="s">
        <v>27</v>
      </c>
      <c r="M70" s="73">
        <v>44891</v>
      </c>
      <c r="N70" s="75">
        <f t="shared" si="1"/>
        <v>299.99</v>
      </c>
    </row>
    <row r="71" spans="1:14" x14ac:dyDescent="0.25">
      <c r="A71" s="76" t="s">
        <v>194</v>
      </c>
      <c r="B71" s="77">
        <v>45487</v>
      </c>
      <c r="C71" s="76" t="s">
        <v>192</v>
      </c>
      <c r="D71" s="76" t="s">
        <v>193</v>
      </c>
      <c r="E71" s="76" t="s">
        <v>126</v>
      </c>
      <c r="F71" s="76" t="s">
        <v>127</v>
      </c>
      <c r="G71" s="76" t="s">
        <v>46</v>
      </c>
      <c r="H71" s="78">
        <v>2</v>
      </c>
      <c r="I71" s="79">
        <v>199.99</v>
      </c>
      <c r="J71" s="76" t="s">
        <v>20</v>
      </c>
      <c r="K71" s="76" t="s">
        <v>40</v>
      </c>
      <c r="L71" s="76" t="s">
        <v>22</v>
      </c>
      <c r="M71" s="77">
        <v>44541</v>
      </c>
      <c r="N71" s="79">
        <f t="shared" si="1"/>
        <v>399.98</v>
      </c>
    </row>
    <row r="72" spans="1:14" x14ac:dyDescent="0.25">
      <c r="A72" s="72" t="s">
        <v>195</v>
      </c>
      <c r="B72" s="73">
        <v>45490</v>
      </c>
      <c r="C72" s="72" t="s">
        <v>196</v>
      </c>
      <c r="D72" s="72" t="s">
        <v>197</v>
      </c>
      <c r="E72" s="72" t="s">
        <v>31</v>
      </c>
      <c r="F72" s="72" t="s">
        <v>32</v>
      </c>
      <c r="G72" s="72" t="s">
        <v>33</v>
      </c>
      <c r="H72" s="74">
        <v>3</v>
      </c>
      <c r="I72" s="75">
        <v>59.99</v>
      </c>
      <c r="J72" s="72" t="s">
        <v>26</v>
      </c>
      <c r="K72" s="72" t="s">
        <v>50</v>
      </c>
      <c r="L72" s="72" t="s">
        <v>22</v>
      </c>
      <c r="M72" s="73">
        <v>45130</v>
      </c>
      <c r="N72" s="75">
        <f t="shared" si="1"/>
        <v>179.97</v>
      </c>
    </row>
    <row r="73" spans="1:14" x14ac:dyDescent="0.25">
      <c r="A73" s="76" t="s">
        <v>198</v>
      </c>
      <c r="B73" s="77">
        <v>45490</v>
      </c>
      <c r="C73" s="76" t="s">
        <v>72</v>
      </c>
      <c r="D73" s="76" t="s">
        <v>73</v>
      </c>
      <c r="E73" s="76" t="s">
        <v>44</v>
      </c>
      <c r="F73" s="76" t="s">
        <v>45</v>
      </c>
      <c r="G73" s="76" t="s">
        <v>46</v>
      </c>
      <c r="H73" s="78">
        <v>3</v>
      </c>
      <c r="I73" s="79">
        <v>149.99</v>
      </c>
      <c r="J73" s="76" t="s">
        <v>20</v>
      </c>
      <c r="K73" s="76" t="s">
        <v>21</v>
      </c>
      <c r="L73" s="76" t="s">
        <v>27</v>
      </c>
      <c r="M73" s="77">
        <v>45199</v>
      </c>
      <c r="N73" s="79">
        <f t="shared" si="1"/>
        <v>449.97</v>
      </c>
    </row>
    <row r="74" spans="1:14" x14ac:dyDescent="0.25">
      <c r="A74" s="72" t="s">
        <v>199</v>
      </c>
      <c r="B74" s="73">
        <v>45491</v>
      </c>
      <c r="C74" s="72" t="s">
        <v>65</v>
      </c>
      <c r="D74" s="72" t="s">
        <v>66</v>
      </c>
      <c r="E74" s="72" t="s">
        <v>126</v>
      </c>
      <c r="F74" s="72" t="s">
        <v>127</v>
      </c>
      <c r="G74" s="72" t="s">
        <v>46</v>
      </c>
      <c r="H74" s="74">
        <v>3</v>
      </c>
      <c r="I74" s="75">
        <v>199.99</v>
      </c>
      <c r="J74" s="72" t="s">
        <v>20</v>
      </c>
      <c r="K74" s="72" t="s">
        <v>40</v>
      </c>
      <c r="L74" s="72" t="s">
        <v>27</v>
      </c>
      <c r="M74" s="73">
        <v>45254</v>
      </c>
      <c r="N74" s="75">
        <f t="shared" si="1"/>
        <v>599.97</v>
      </c>
    </row>
    <row r="75" spans="1:14" x14ac:dyDescent="0.25">
      <c r="A75" s="76" t="s">
        <v>200</v>
      </c>
      <c r="B75" s="77">
        <v>45496</v>
      </c>
      <c r="C75" s="76" t="s">
        <v>150</v>
      </c>
      <c r="D75" s="76" t="s">
        <v>151</v>
      </c>
      <c r="E75" s="76" t="s">
        <v>61</v>
      </c>
      <c r="F75" s="76" t="s">
        <v>62</v>
      </c>
      <c r="G75" s="76" t="s">
        <v>19</v>
      </c>
      <c r="H75" s="78">
        <v>1</v>
      </c>
      <c r="I75" s="79">
        <v>899.99</v>
      </c>
      <c r="J75" s="76" t="s">
        <v>20</v>
      </c>
      <c r="K75" s="76" t="s">
        <v>21</v>
      </c>
      <c r="L75" s="76" t="s">
        <v>36</v>
      </c>
      <c r="M75" s="77">
        <v>45179</v>
      </c>
      <c r="N75" s="79">
        <f t="shared" si="1"/>
        <v>899.99</v>
      </c>
    </row>
    <row r="76" spans="1:14" x14ac:dyDescent="0.25">
      <c r="A76" s="72" t="s">
        <v>201</v>
      </c>
      <c r="B76" s="73">
        <v>45497</v>
      </c>
      <c r="C76" s="72" t="s">
        <v>24</v>
      </c>
      <c r="D76" s="72" t="s">
        <v>25</v>
      </c>
      <c r="E76" s="72" t="s">
        <v>61</v>
      </c>
      <c r="F76" s="72" t="s">
        <v>62</v>
      </c>
      <c r="G76" s="72" t="s">
        <v>19</v>
      </c>
      <c r="H76" s="74">
        <v>5</v>
      </c>
      <c r="I76" s="75">
        <v>899.99</v>
      </c>
      <c r="J76" s="72" t="s">
        <v>57</v>
      </c>
      <c r="K76" s="72" t="s">
        <v>35</v>
      </c>
      <c r="L76" s="72" t="s">
        <v>36</v>
      </c>
      <c r="M76" s="73">
        <v>44899</v>
      </c>
      <c r="N76" s="75">
        <f t="shared" si="1"/>
        <v>4499.95</v>
      </c>
    </row>
    <row r="77" spans="1:14" x14ac:dyDescent="0.25">
      <c r="A77" s="76" t="s">
        <v>202</v>
      </c>
      <c r="B77" s="77">
        <v>45498</v>
      </c>
      <c r="C77" s="76" t="s">
        <v>182</v>
      </c>
      <c r="D77" s="76" t="s">
        <v>183</v>
      </c>
      <c r="E77" s="76" t="s">
        <v>31</v>
      </c>
      <c r="F77" s="76" t="s">
        <v>32</v>
      </c>
      <c r="G77" s="76" t="s">
        <v>33</v>
      </c>
      <c r="H77" s="78">
        <v>2</v>
      </c>
      <c r="I77" s="79">
        <v>59.99</v>
      </c>
      <c r="J77" s="76" t="s">
        <v>20</v>
      </c>
      <c r="K77" s="76" t="s">
        <v>40</v>
      </c>
      <c r="L77" s="76" t="s">
        <v>36</v>
      </c>
      <c r="M77" s="77">
        <v>45152</v>
      </c>
      <c r="N77" s="79">
        <f t="shared" si="1"/>
        <v>119.98</v>
      </c>
    </row>
    <row r="78" spans="1:14" x14ac:dyDescent="0.25">
      <c r="A78" s="72" t="s">
        <v>203</v>
      </c>
      <c r="B78" s="73">
        <v>45498</v>
      </c>
      <c r="C78" s="72" t="s">
        <v>196</v>
      </c>
      <c r="D78" s="72" t="s">
        <v>197</v>
      </c>
      <c r="E78" s="72" t="s">
        <v>17</v>
      </c>
      <c r="F78" s="72" t="s">
        <v>18</v>
      </c>
      <c r="G78" s="72" t="s">
        <v>19</v>
      </c>
      <c r="H78" s="74">
        <v>4</v>
      </c>
      <c r="I78" s="75">
        <v>249.99</v>
      </c>
      <c r="J78" s="72" t="s">
        <v>57</v>
      </c>
      <c r="K78" s="72" t="s">
        <v>21</v>
      </c>
      <c r="L78" s="72" t="s">
        <v>36</v>
      </c>
      <c r="M78" s="73">
        <v>45127</v>
      </c>
      <c r="N78" s="75">
        <f t="shared" si="1"/>
        <v>999.96</v>
      </c>
    </row>
    <row r="79" spans="1:14" x14ac:dyDescent="0.25">
      <c r="A79" s="76" t="s">
        <v>204</v>
      </c>
      <c r="B79" s="77">
        <v>45500</v>
      </c>
      <c r="C79" s="76" t="s">
        <v>96</v>
      </c>
      <c r="D79" s="76" t="s">
        <v>97</v>
      </c>
      <c r="E79" s="76" t="s">
        <v>17</v>
      </c>
      <c r="F79" s="76" t="s">
        <v>18</v>
      </c>
      <c r="G79" s="76" t="s">
        <v>19</v>
      </c>
      <c r="H79" s="78">
        <v>2</v>
      </c>
      <c r="I79" s="79">
        <v>249.99</v>
      </c>
      <c r="J79" s="76" t="s">
        <v>20</v>
      </c>
      <c r="K79" s="76" t="s">
        <v>40</v>
      </c>
      <c r="L79" s="76" t="s">
        <v>27</v>
      </c>
      <c r="M79" s="77">
        <v>45164</v>
      </c>
      <c r="N79" s="79">
        <f t="shared" si="1"/>
        <v>499.98</v>
      </c>
    </row>
    <row r="80" spans="1:14" x14ac:dyDescent="0.25">
      <c r="A80" s="72" t="s">
        <v>205</v>
      </c>
      <c r="B80" s="73">
        <v>45500</v>
      </c>
      <c r="C80" s="72" t="s">
        <v>147</v>
      </c>
      <c r="D80" s="72" t="s">
        <v>148</v>
      </c>
      <c r="E80" s="72" t="s">
        <v>105</v>
      </c>
      <c r="F80" s="72" t="s">
        <v>106</v>
      </c>
      <c r="G80" s="72" t="s">
        <v>46</v>
      </c>
      <c r="H80" s="74">
        <v>1</v>
      </c>
      <c r="I80" s="75">
        <v>299.99</v>
      </c>
      <c r="J80" s="72" t="s">
        <v>20</v>
      </c>
      <c r="K80" s="72" t="s">
        <v>35</v>
      </c>
      <c r="L80" s="72" t="s">
        <v>22</v>
      </c>
      <c r="M80" s="73">
        <v>44982</v>
      </c>
      <c r="N80" s="75">
        <f t="shared" si="1"/>
        <v>299.99</v>
      </c>
    </row>
    <row r="81" spans="1:14" x14ac:dyDescent="0.25">
      <c r="A81" s="76" t="s">
        <v>206</v>
      </c>
      <c r="B81" s="77">
        <v>45501</v>
      </c>
      <c r="C81" s="76" t="s">
        <v>86</v>
      </c>
      <c r="D81" s="76" t="s">
        <v>87</v>
      </c>
      <c r="E81" s="76" t="s">
        <v>117</v>
      </c>
      <c r="F81" s="76" t="s">
        <v>118</v>
      </c>
      <c r="G81" s="76" t="s">
        <v>19</v>
      </c>
      <c r="H81" s="78">
        <v>2</v>
      </c>
      <c r="I81" s="79">
        <v>89.99</v>
      </c>
      <c r="J81" s="76" t="s">
        <v>34</v>
      </c>
      <c r="K81" s="76" t="s">
        <v>35</v>
      </c>
      <c r="L81" s="76" t="s">
        <v>22</v>
      </c>
      <c r="M81" s="77">
        <v>44976</v>
      </c>
      <c r="N81" s="79">
        <f t="shared" si="1"/>
        <v>179.98</v>
      </c>
    </row>
    <row r="82" spans="1:14" x14ac:dyDescent="0.25">
      <c r="A82" s="72" t="s">
        <v>207</v>
      </c>
      <c r="B82" s="73">
        <v>45501</v>
      </c>
      <c r="C82" s="72" t="s">
        <v>147</v>
      </c>
      <c r="D82" s="72" t="s">
        <v>148</v>
      </c>
      <c r="E82" s="72" t="s">
        <v>105</v>
      </c>
      <c r="F82" s="72" t="s">
        <v>106</v>
      </c>
      <c r="G82" s="72" t="s">
        <v>46</v>
      </c>
      <c r="H82" s="74">
        <v>3</v>
      </c>
      <c r="I82" s="75">
        <v>299.99</v>
      </c>
      <c r="J82" s="72" t="s">
        <v>20</v>
      </c>
      <c r="K82" s="72" t="s">
        <v>21</v>
      </c>
      <c r="L82" s="72" t="s">
        <v>22</v>
      </c>
      <c r="M82" s="73">
        <v>44732</v>
      </c>
      <c r="N82" s="75">
        <f t="shared" si="1"/>
        <v>899.97</v>
      </c>
    </row>
    <row r="83" spans="1:14" x14ac:dyDescent="0.25">
      <c r="A83" s="76" t="s">
        <v>208</v>
      </c>
      <c r="B83" s="77">
        <v>45503</v>
      </c>
      <c r="C83" s="76" t="s">
        <v>86</v>
      </c>
      <c r="D83" s="76" t="s">
        <v>87</v>
      </c>
      <c r="E83" s="76" t="s">
        <v>80</v>
      </c>
      <c r="F83" s="76" t="s">
        <v>81</v>
      </c>
      <c r="G83" s="76" t="s">
        <v>19</v>
      </c>
      <c r="H83" s="78">
        <v>2</v>
      </c>
      <c r="I83" s="79">
        <v>699.99</v>
      </c>
      <c r="J83" s="76" t="s">
        <v>26</v>
      </c>
      <c r="K83" s="76" t="s">
        <v>40</v>
      </c>
      <c r="L83" s="76" t="s">
        <v>27</v>
      </c>
      <c r="M83" s="77">
        <v>44999</v>
      </c>
      <c r="N83" s="79">
        <f t="shared" si="1"/>
        <v>1399.98</v>
      </c>
    </row>
    <row r="84" spans="1:14" x14ac:dyDescent="0.25">
      <c r="A84" s="72" t="s">
        <v>209</v>
      </c>
      <c r="B84" s="73">
        <v>45504</v>
      </c>
      <c r="C84" s="72" t="s">
        <v>120</v>
      </c>
      <c r="D84" s="72" t="s">
        <v>121</v>
      </c>
      <c r="E84" s="72" t="s">
        <v>61</v>
      </c>
      <c r="F84" s="72" t="s">
        <v>62</v>
      </c>
      <c r="G84" s="72" t="s">
        <v>19</v>
      </c>
      <c r="H84" s="74">
        <v>4</v>
      </c>
      <c r="I84" s="75">
        <v>899.99</v>
      </c>
      <c r="J84" s="72" t="s">
        <v>57</v>
      </c>
      <c r="K84" s="72" t="s">
        <v>35</v>
      </c>
      <c r="L84" s="72" t="s">
        <v>36</v>
      </c>
      <c r="M84" s="73">
        <v>44523</v>
      </c>
      <c r="N84" s="75">
        <f t="shared" si="1"/>
        <v>3599.96</v>
      </c>
    </row>
    <row r="85" spans="1:14" x14ac:dyDescent="0.25">
      <c r="A85" s="76" t="s">
        <v>210</v>
      </c>
      <c r="B85" s="77">
        <v>45509</v>
      </c>
      <c r="C85" s="76" t="s">
        <v>211</v>
      </c>
      <c r="D85" s="76" t="s">
        <v>212</v>
      </c>
      <c r="E85" s="76" t="s">
        <v>44</v>
      </c>
      <c r="F85" s="76" t="s">
        <v>45</v>
      </c>
      <c r="G85" s="76" t="s">
        <v>46</v>
      </c>
      <c r="H85" s="78">
        <v>2</v>
      </c>
      <c r="I85" s="79">
        <v>149.99</v>
      </c>
      <c r="J85" s="76" t="s">
        <v>26</v>
      </c>
      <c r="K85" s="76" t="s">
        <v>50</v>
      </c>
      <c r="L85" s="76" t="s">
        <v>22</v>
      </c>
      <c r="M85" s="77">
        <v>44542</v>
      </c>
      <c r="N85" s="79">
        <f t="shared" si="1"/>
        <v>299.98</v>
      </c>
    </row>
    <row r="86" spans="1:14" x14ac:dyDescent="0.25">
      <c r="A86" s="72" t="s">
        <v>213</v>
      </c>
      <c r="B86" s="73">
        <v>45510</v>
      </c>
      <c r="C86" s="72" t="s">
        <v>102</v>
      </c>
      <c r="D86" s="72" t="s">
        <v>103</v>
      </c>
      <c r="E86" s="72" t="s">
        <v>44</v>
      </c>
      <c r="F86" s="72" t="s">
        <v>45</v>
      </c>
      <c r="G86" s="72" t="s">
        <v>46</v>
      </c>
      <c r="H86" s="74">
        <v>2</v>
      </c>
      <c r="I86" s="75">
        <v>149.99</v>
      </c>
      <c r="J86" s="72" t="s">
        <v>57</v>
      </c>
      <c r="K86" s="72" t="s">
        <v>63</v>
      </c>
      <c r="L86" s="72" t="s">
        <v>36</v>
      </c>
      <c r="M86" s="73">
        <v>44667</v>
      </c>
      <c r="N86" s="75">
        <f t="shared" si="1"/>
        <v>299.98</v>
      </c>
    </row>
    <row r="87" spans="1:14" x14ac:dyDescent="0.25">
      <c r="A87" s="76" t="s">
        <v>214</v>
      </c>
      <c r="B87" s="77">
        <v>45513</v>
      </c>
      <c r="C87" s="76" t="s">
        <v>89</v>
      </c>
      <c r="D87" s="76" t="s">
        <v>90</v>
      </c>
      <c r="E87" s="76" t="s">
        <v>117</v>
      </c>
      <c r="F87" s="76" t="s">
        <v>118</v>
      </c>
      <c r="G87" s="76" t="s">
        <v>19</v>
      </c>
      <c r="H87" s="78">
        <v>1</v>
      </c>
      <c r="I87" s="79">
        <v>89.99</v>
      </c>
      <c r="J87" s="76" t="s">
        <v>26</v>
      </c>
      <c r="K87" s="76" t="s">
        <v>40</v>
      </c>
      <c r="L87" s="76" t="s">
        <v>36</v>
      </c>
      <c r="M87" s="77">
        <v>45393</v>
      </c>
      <c r="N87" s="79">
        <f t="shared" si="1"/>
        <v>89.99</v>
      </c>
    </row>
    <row r="88" spans="1:14" x14ac:dyDescent="0.25">
      <c r="A88" s="72" t="s">
        <v>215</v>
      </c>
      <c r="B88" s="73">
        <v>45515</v>
      </c>
      <c r="C88" s="72" t="s">
        <v>86</v>
      </c>
      <c r="D88" s="72" t="s">
        <v>87</v>
      </c>
      <c r="E88" s="72" t="s">
        <v>105</v>
      </c>
      <c r="F88" s="72" t="s">
        <v>106</v>
      </c>
      <c r="G88" s="72" t="s">
        <v>46</v>
      </c>
      <c r="H88" s="74">
        <v>5</v>
      </c>
      <c r="I88" s="75">
        <v>299.99</v>
      </c>
      <c r="J88" s="72" t="s">
        <v>26</v>
      </c>
      <c r="K88" s="72" t="s">
        <v>40</v>
      </c>
      <c r="L88" s="72" t="s">
        <v>22</v>
      </c>
      <c r="M88" s="73">
        <v>44965</v>
      </c>
      <c r="N88" s="75">
        <f t="shared" si="1"/>
        <v>1499.95</v>
      </c>
    </row>
    <row r="89" spans="1:14" x14ac:dyDescent="0.25">
      <c r="A89" s="76" t="s">
        <v>216</v>
      </c>
      <c r="B89" s="77">
        <v>45517</v>
      </c>
      <c r="C89" s="76" t="s">
        <v>182</v>
      </c>
      <c r="D89" s="76" t="s">
        <v>183</v>
      </c>
      <c r="E89" s="76" t="s">
        <v>52</v>
      </c>
      <c r="F89" s="76" t="s">
        <v>53</v>
      </c>
      <c r="G89" s="76" t="s">
        <v>19</v>
      </c>
      <c r="H89" s="78">
        <v>4</v>
      </c>
      <c r="I89" s="79">
        <v>149.99</v>
      </c>
      <c r="J89" s="76" t="s">
        <v>57</v>
      </c>
      <c r="K89" s="76" t="s">
        <v>35</v>
      </c>
      <c r="L89" s="76" t="s">
        <v>27</v>
      </c>
      <c r="M89" s="77">
        <v>44820</v>
      </c>
      <c r="N89" s="79">
        <f t="shared" si="1"/>
        <v>599.96</v>
      </c>
    </row>
    <row r="90" spans="1:14" x14ac:dyDescent="0.25">
      <c r="A90" s="72" t="s">
        <v>217</v>
      </c>
      <c r="B90" s="73">
        <v>45517</v>
      </c>
      <c r="C90" s="72" t="s">
        <v>185</v>
      </c>
      <c r="D90" s="72" t="s">
        <v>186</v>
      </c>
      <c r="E90" s="72" t="s">
        <v>17</v>
      </c>
      <c r="F90" s="72" t="s">
        <v>18</v>
      </c>
      <c r="G90" s="72" t="s">
        <v>19</v>
      </c>
      <c r="H90" s="74">
        <v>5</v>
      </c>
      <c r="I90" s="75">
        <v>249.99</v>
      </c>
      <c r="J90" s="72" t="s">
        <v>34</v>
      </c>
      <c r="K90" s="72" t="s">
        <v>63</v>
      </c>
      <c r="L90" s="72" t="s">
        <v>27</v>
      </c>
      <c r="M90" s="73">
        <v>44782</v>
      </c>
      <c r="N90" s="75">
        <f t="shared" si="1"/>
        <v>1249.95</v>
      </c>
    </row>
    <row r="91" spans="1:14" x14ac:dyDescent="0.25">
      <c r="A91" s="76" t="s">
        <v>218</v>
      </c>
      <c r="B91" s="77">
        <v>45517</v>
      </c>
      <c r="C91" s="76" t="s">
        <v>65</v>
      </c>
      <c r="D91" s="76" t="s">
        <v>66</v>
      </c>
      <c r="E91" s="76" t="s">
        <v>17</v>
      </c>
      <c r="F91" s="76" t="s">
        <v>18</v>
      </c>
      <c r="G91" s="76" t="s">
        <v>19</v>
      </c>
      <c r="H91" s="78">
        <v>3</v>
      </c>
      <c r="I91" s="79">
        <v>249.99</v>
      </c>
      <c r="J91" s="76" t="s">
        <v>34</v>
      </c>
      <c r="K91" s="76" t="s">
        <v>40</v>
      </c>
      <c r="L91" s="76" t="s">
        <v>27</v>
      </c>
      <c r="M91" s="77">
        <v>44465</v>
      </c>
      <c r="N91" s="79">
        <f t="shared" si="1"/>
        <v>749.97</v>
      </c>
    </row>
    <row r="92" spans="1:14" x14ac:dyDescent="0.25">
      <c r="A92" s="72" t="s">
        <v>219</v>
      </c>
      <c r="B92" s="73">
        <v>45517</v>
      </c>
      <c r="C92" s="72" t="s">
        <v>38</v>
      </c>
      <c r="D92" s="72" t="s">
        <v>39</v>
      </c>
      <c r="E92" s="72" t="s">
        <v>126</v>
      </c>
      <c r="F92" s="72" t="s">
        <v>127</v>
      </c>
      <c r="G92" s="72" t="s">
        <v>46</v>
      </c>
      <c r="H92" s="74">
        <v>4</v>
      </c>
      <c r="I92" s="75">
        <v>199.99</v>
      </c>
      <c r="J92" s="72" t="s">
        <v>20</v>
      </c>
      <c r="K92" s="72" t="s">
        <v>40</v>
      </c>
      <c r="L92" s="72" t="s">
        <v>36</v>
      </c>
      <c r="M92" s="73">
        <v>44458</v>
      </c>
      <c r="N92" s="75">
        <f t="shared" si="1"/>
        <v>799.96</v>
      </c>
    </row>
    <row r="93" spans="1:14" x14ac:dyDescent="0.25">
      <c r="A93" s="76" t="s">
        <v>220</v>
      </c>
      <c r="B93" s="77">
        <v>45519</v>
      </c>
      <c r="C93" s="76" t="s">
        <v>158</v>
      </c>
      <c r="D93" s="76" t="s">
        <v>159</v>
      </c>
      <c r="E93" s="76" t="s">
        <v>126</v>
      </c>
      <c r="F93" s="76" t="s">
        <v>127</v>
      </c>
      <c r="G93" s="76" t="s">
        <v>46</v>
      </c>
      <c r="H93" s="78">
        <v>5</v>
      </c>
      <c r="I93" s="79">
        <v>199.99</v>
      </c>
      <c r="J93" s="76" t="s">
        <v>20</v>
      </c>
      <c r="K93" s="76" t="s">
        <v>40</v>
      </c>
      <c r="L93" s="76" t="s">
        <v>27</v>
      </c>
      <c r="M93" s="77">
        <v>44991</v>
      </c>
      <c r="N93" s="79">
        <f t="shared" si="1"/>
        <v>999.95</v>
      </c>
    </row>
    <row r="94" spans="1:14" x14ac:dyDescent="0.25">
      <c r="A94" s="72" t="s">
        <v>221</v>
      </c>
      <c r="B94" s="73">
        <v>45522</v>
      </c>
      <c r="C94" s="72" t="s">
        <v>86</v>
      </c>
      <c r="D94" s="72" t="s">
        <v>87</v>
      </c>
      <c r="E94" s="72" t="s">
        <v>117</v>
      </c>
      <c r="F94" s="72" t="s">
        <v>118</v>
      </c>
      <c r="G94" s="72" t="s">
        <v>19</v>
      </c>
      <c r="H94" s="74">
        <v>2</v>
      </c>
      <c r="I94" s="75">
        <v>89.99</v>
      </c>
      <c r="J94" s="72" t="s">
        <v>20</v>
      </c>
      <c r="K94" s="72" t="s">
        <v>63</v>
      </c>
      <c r="L94" s="72" t="s">
        <v>27</v>
      </c>
      <c r="M94" s="73">
        <v>44972</v>
      </c>
      <c r="N94" s="75">
        <f t="shared" si="1"/>
        <v>179.98</v>
      </c>
    </row>
    <row r="95" spans="1:14" x14ac:dyDescent="0.25">
      <c r="A95" s="76" t="s">
        <v>222</v>
      </c>
      <c r="B95" s="77">
        <v>45523</v>
      </c>
      <c r="C95" s="76" t="s">
        <v>196</v>
      </c>
      <c r="D95" s="76" t="s">
        <v>197</v>
      </c>
      <c r="E95" s="76" t="s">
        <v>61</v>
      </c>
      <c r="F95" s="76" t="s">
        <v>62</v>
      </c>
      <c r="G95" s="76" t="s">
        <v>19</v>
      </c>
      <c r="H95" s="78">
        <v>5</v>
      </c>
      <c r="I95" s="79">
        <v>899.99</v>
      </c>
      <c r="J95" s="76" t="s">
        <v>57</v>
      </c>
      <c r="K95" s="76" t="s">
        <v>63</v>
      </c>
      <c r="L95" s="76" t="s">
        <v>22</v>
      </c>
      <c r="M95" s="77">
        <v>44526</v>
      </c>
      <c r="N95" s="79">
        <f t="shared" si="1"/>
        <v>4499.95</v>
      </c>
    </row>
    <row r="96" spans="1:14" x14ac:dyDescent="0.25">
      <c r="A96" s="72" t="s">
        <v>223</v>
      </c>
      <c r="B96" s="73">
        <v>45523</v>
      </c>
      <c r="C96" s="72" t="s">
        <v>108</v>
      </c>
      <c r="D96" s="72" t="s">
        <v>109</v>
      </c>
      <c r="E96" s="72" t="s">
        <v>52</v>
      </c>
      <c r="F96" s="72" t="s">
        <v>53</v>
      </c>
      <c r="G96" s="72" t="s">
        <v>19</v>
      </c>
      <c r="H96" s="74">
        <v>3</v>
      </c>
      <c r="I96" s="75">
        <v>149.99</v>
      </c>
      <c r="J96" s="72" t="s">
        <v>34</v>
      </c>
      <c r="K96" s="72" t="s">
        <v>63</v>
      </c>
      <c r="L96" s="72" t="s">
        <v>22</v>
      </c>
      <c r="M96" s="73">
        <v>44574</v>
      </c>
      <c r="N96" s="75">
        <f t="shared" si="1"/>
        <v>449.97</v>
      </c>
    </row>
    <row r="97" spans="1:14" x14ac:dyDescent="0.25">
      <c r="A97" s="76" t="s">
        <v>224</v>
      </c>
      <c r="B97" s="77">
        <v>45526</v>
      </c>
      <c r="C97" s="76" t="s">
        <v>102</v>
      </c>
      <c r="D97" s="76" t="s">
        <v>103</v>
      </c>
      <c r="E97" s="76" t="s">
        <v>44</v>
      </c>
      <c r="F97" s="76" t="s">
        <v>45</v>
      </c>
      <c r="G97" s="76" t="s">
        <v>46</v>
      </c>
      <c r="H97" s="78">
        <v>5</v>
      </c>
      <c r="I97" s="79">
        <v>149.99</v>
      </c>
      <c r="J97" s="76" t="s">
        <v>26</v>
      </c>
      <c r="K97" s="76" t="s">
        <v>21</v>
      </c>
      <c r="L97" s="76" t="s">
        <v>22</v>
      </c>
      <c r="M97" s="77">
        <v>45310</v>
      </c>
      <c r="N97" s="79">
        <f t="shared" si="1"/>
        <v>749.95</v>
      </c>
    </row>
    <row r="98" spans="1:14" x14ac:dyDescent="0.25">
      <c r="A98" s="72" t="s">
        <v>225</v>
      </c>
      <c r="B98" s="73">
        <v>45528</v>
      </c>
      <c r="C98" s="72" t="s">
        <v>226</v>
      </c>
      <c r="D98" s="72" t="s">
        <v>227</v>
      </c>
      <c r="E98" s="72" t="s">
        <v>114</v>
      </c>
      <c r="F98" s="72" t="s">
        <v>115</v>
      </c>
      <c r="G98" s="72" t="s">
        <v>33</v>
      </c>
      <c r="H98" s="74">
        <v>3</v>
      </c>
      <c r="I98" s="75">
        <v>79.989999999999995</v>
      </c>
      <c r="J98" s="72" t="s">
        <v>20</v>
      </c>
      <c r="K98" s="72" t="s">
        <v>21</v>
      </c>
      <c r="L98" s="72" t="s">
        <v>27</v>
      </c>
      <c r="M98" s="73">
        <v>44779</v>
      </c>
      <c r="N98" s="75">
        <f t="shared" si="1"/>
        <v>239.96999999999997</v>
      </c>
    </row>
    <row r="99" spans="1:14" x14ac:dyDescent="0.25">
      <c r="A99" s="76" t="s">
        <v>228</v>
      </c>
      <c r="B99" s="77">
        <v>45528</v>
      </c>
      <c r="C99" s="76" t="s">
        <v>144</v>
      </c>
      <c r="D99" s="76" t="s">
        <v>145</v>
      </c>
      <c r="E99" s="76" t="s">
        <v>17</v>
      </c>
      <c r="F99" s="76" t="s">
        <v>18</v>
      </c>
      <c r="G99" s="76" t="s">
        <v>19</v>
      </c>
      <c r="H99" s="78">
        <v>2</v>
      </c>
      <c r="I99" s="79">
        <v>249.99</v>
      </c>
      <c r="J99" s="76" t="s">
        <v>20</v>
      </c>
      <c r="K99" s="76" t="s">
        <v>35</v>
      </c>
      <c r="L99" s="76" t="s">
        <v>36</v>
      </c>
      <c r="M99" s="77">
        <v>44572</v>
      </c>
      <c r="N99" s="79">
        <f t="shared" si="1"/>
        <v>499.98</v>
      </c>
    </row>
    <row r="100" spans="1:14" x14ac:dyDescent="0.25">
      <c r="A100" s="72" t="s">
        <v>229</v>
      </c>
      <c r="B100" s="73">
        <v>45532</v>
      </c>
      <c r="C100" s="72" t="s">
        <v>196</v>
      </c>
      <c r="D100" s="72" t="s">
        <v>197</v>
      </c>
      <c r="E100" s="72" t="s">
        <v>80</v>
      </c>
      <c r="F100" s="72" t="s">
        <v>81</v>
      </c>
      <c r="G100" s="72" t="s">
        <v>19</v>
      </c>
      <c r="H100" s="74">
        <v>1</v>
      </c>
      <c r="I100" s="75">
        <v>699.99</v>
      </c>
      <c r="J100" s="72" t="s">
        <v>20</v>
      </c>
      <c r="K100" s="72" t="s">
        <v>21</v>
      </c>
      <c r="L100" s="72" t="s">
        <v>27</v>
      </c>
      <c r="M100" s="73">
        <v>44497</v>
      </c>
      <c r="N100" s="75">
        <f t="shared" si="1"/>
        <v>699.99</v>
      </c>
    </row>
    <row r="101" spans="1:14" x14ac:dyDescent="0.25">
      <c r="A101" s="76" t="s">
        <v>230</v>
      </c>
      <c r="B101" s="77">
        <v>45532</v>
      </c>
      <c r="C101" s="76" t="s">
        <v>231</v>
      </c>
      <c r="D101" s="76" t="s">
        <v>232</v>
      </c>
      <c r="E101" s="76" t="s">
        <v>52</v>
      </c>
      <c r="F101" s="76" t="s">
        <v>53</v>
      </c>
      <c r="G101" s="76" t="s">
        <v>19</v>
      </c>
      <c r="H101" s="78">
        <v>3</v>
      </c>
      <c r="I101" s="79">
        <v>149.99</v>
      </c>
      <c r="J101" s="76" t="s">
        <v>20</v>
      </c>
      <c r="K101" s="76" t="s">
        <v>50</v>
      </c>
      <c r="L101" s="76" t="s">
        <v>27</v>
      </c>
      <c r="M101" s="77">
        <v>45212</v>
      </c>
      <c r="N101" s="79">
        <f t="shared" si="1"/>
        <v>449.97</v>
      </c>
    </row>
    <row r="102" spans="1:14" x14ac:dyDescent="0.25">
      <c r="A102" s="72" t="s">
        <v>233</v>
      </c>
      <c r="B102" s="73">
        <v>45534</v>
      </c>
      <c r="C102" s="72" t="s">
        <v>234</v>
      </c>
      <c r="D102" s="72" t="s">
        <v>235</v>
      </c>
      <c r="E102" s="72" t="s">
        <v>80</v>
      </c>
      <c r="F102" s="72" t="s">
        <v>81</v>
      </c>
      <c r="G102" s="72" t="s">
        <v>19</v>
      </c>
      <c r="H102" s="74">
        <v>2</v>
      </c>
      <c r="I102" s="75">
        <v>699.99</v>
      </c>
      <c r="J102" s="72" t="s">
        <v>26</v>
      </c>
      <c r="K102" s="72" t="s">
        <v>40</v>
      </c>
      <c r="L102" s="72" t="s">
        <v>27</v>
      </c>
      <c r="M102" s="73">
        <v>44421</v>
      </c>
      <c r="N102" s="75">
        <f t="shared" si="1"/>
        <v>1399.98</v>
      </c>
    </row>
    <row r="103" spans="1:14" x14ac:dyDescent="0.25">
      <c r="A103" s="76" t="s">
        <v>236</v>
      </c>
      <c r="B103" s="77">
        <v>45537</v>
      </c>
      <c r="C103" s="76" t="s">
        <v>231</v>
      </c>
      <c r="D103" s="76" t="s">
        <v>232</v>
      </c>
      <c r="E103" s="76" t="s">
        <v>17</v>
      </c>
      <c r="F103" s="76" t="s">
        <v>18</v>
      </c>
      <c r="G103" s="76" t="s">
        <v>19</v>
      </c>
      <c r="H103" s="78">
        <v>1</v>
      </c>
      <c r="I103" s="79">
        <v>249.99</v>
      </c>
      <c r="J103" s="76" t="s">
        <v>26</v>
      </c>
      <c r="K103" s="76" t="s">
        <v>50</v>
      </c>
      <c r="L103" s="76" t="s">
        <v>27</v>
      </c>
      <c r="M103" s="77">
        <v>44685</v>
      </c>
      <c r="N103" s="79">
        <f t="shared" si="1"/>
        <v>249.99</v>
      </c>
    </row>
    <row r="104" spans="1:14" x14ac:dyDescent="0.25">
      <c r="A104" s="72" t="s">
        <v>237</v>
      </c>
      <c r="B104" s="73">
        <v>45537</v>
      </c>
      <c r="C104" s="72" t="s">
        <v>15</v>
      </c>
      <c r="D104" s="72" t="s">
        <v>16</v>
      </c>
      <c r="E104" s="72" t="s">
        <v>17</v>
      </c>
      <c r="F104" s="72" t="s">
        <v>18</v>
      </c>
      <c r="G104" s="72" t="s">
        <v>19</v>
      </c>
      <c r="H104" s="74">
        <v>1</v>
      </c>
      <c r="I104" s="75">
        <v>249.99</v>
      </c>
      <c r="J104" s="72" t="s">
        <v>57</v>
      </c>
      <c r="K104" s="72" t="s">
        <v>40</v>
      </c>
      <c r="L104" s="72" t="s">
        <v>27</v>
      </c>
      <c r="M104" s="73">
        <v>45332</v>
      </c>
      <c r="N104" s="75">
        <f t="shared" si="1"/>
        <v>249.99</v>
      </c>
    </row>
    <row r="105" spans="1:14" x14ac:dyDescent="0.25">
      <c r="A105" s="76" t="s">
        <v>238</v>
      </c>
      <c r="B105" s="77">
        <v>45538</v>
      </c>
      <c r="C105" s="76" t="s">
        <v>226</v>
      </c>
      <c r="D105" s="76" t="s">
        <v>227</v>
      </c>
      <c r="E105" s="76" t="s">
        <v>80</v>
      </c>
      <c r="F105" s="76" t="s">
        <v>81</v>
      </c>
      <c r="G105" s="76" t="s">
        <v>19</v>
      </c>
      <c r="H105" s="78">
        <v>2</v>
      </c>
      <c r="I105" s="79">
        <v>699.99</v>
      </c>
      <c r="J105" s="76" t="s">
        <v>57</v>
      </c>
      <c r="K105" s="76" t="s">
        <v>21</v>
      </c>
      <c r="L105" s="76" t="s">
        <v>27</v>
      </c>
      <c r="M105" s="77">
        <v>44870</v>
      </c>
      <c r="N105" s="79">
        <f t="shared" si="1"/>
        <v>1399.98</v>
      </c>
    </row>
    <row r="106" spans="1:14" x14ac:dyDescent="0.25">
      <c r="A106" s="72" t="s">
        <v>239</v>
      </c>
      <c r="B106" s="73">
        <v>45541</v>
      </c>
      <c r="C106" s="72" t="s">
        <v>138</v>
      </c>
      <c r="D106" s="72" t="s">
        <v>139</v>
      </c>
      <c r="E106" s="72" t="s">
        <v>31</v>
      </c>
      <c r="F106" s="72" t="s">
        <v>32</v>
      </c>
      <c r="G106" s="72" t="s">
        <v>33</v>
      </c>
      <c r="H106" s="74">
        <v>3</v>
      </c>
      <c r="I106" s="75">
        <v>59.99</v>
      </c>
      <c r="J106" s="72" t="s">
        <v>26</v>
      </c>
      <c r="K106" s="72" t="s">
        <v>21</v>
      </c>
      <c r="L106" s="72" t="s">
        <v>27</v>
      </c>
      <c r="M106" s="73">
        <v>44717</v>
      </c>
      <c r="N106" s="75">
        <f t="shared" si="1"/>
        <v>179.97</v>
      </c>
    </row>
    <row r="107" spans="1:14" x14ac:dyDescent="0.25">
      <c r="A107" s="76" t="s">
        <v>240</v>
      </c>
      <c r="B107" s="77">
        <v>45544</v>
      </c>
      <c r="C107" s="76" t="s">
        <v>132</v>
      </c>
      <c r="D107" s="76" t="s">
        <v>133</v>
      </c>
      <c r="E107" s="76" t="s">
        <v>31</v>
      </c>
      <c r="F107" s="76" t="s">
        <v>32</v>
      </c>
      <c r="G107" s="76" t="s">
        <v>33</v>
      </c>
      <c r="H107" s="78">
        <v>3</v>
      </c>
      <c r="I107" s="79">
        <v>59.99</v>
      </c>
      <c r="J107" s="76" t="s">
        <v>34</v>
      </c>
      <c r="K107" s="76" t="s">
        <v>63</v>
      </c>
      <c r="L107" s="76" t="s">
        <v>36</v>
      </c>
      <c r="M107" s="77">
        <v>44748</v>
      </c>
      <c r="N107" s="79">
        <f t="shared" si="1"/>
        <v>179.97</v>
      </c>
    </row>
    <row r="108" spans="1:14" x14ac:dyDescent="0.25">
      <c r="A108" s="72" t="s">
        <v>241</v>
      </c>
      <c r="B108" s="73">
        <v>45544</v>
      </c>
      <c r="C108" s="72" t="s">
        <v>141</v>
      </c>
      <c r="D108" s="72" t="s">
        <v>142</v>
      </c>
      <c r="E108" s="72" t="s">
        <v>114</v>
      </c>
      <c r="F108" s="72" t="s">
        <v>115</v>
      </c>
      <c r="G108" s="72" t="s">
        <v>33</v>
      </c>
      <c r="H108" s="74">
        <v>4</v>
      </c>
      <c r="I108" s="75">
        <v>79.989999999999995</v>
      </c>
      <c r="J108" s="72" t="s">
        <v>20</v>
      </c>
      <c r="K108" s="72" t="s">
        <v>40</v>
      </c>
      <c r="L108" s="72" t="s">
        <v>22</v>
      </c>
      <c r="M108" s="73">
        <v>44530</v>
      </c>
      <c r="N108" s="75">
        <f t="shared" si="1"/>
        <v>319.95999999999998</v>
      </c>
    </row>
    <row r="109" spans="1:14" x14ac:dyDescent="0.25">
      <c r="A109" s="76" t="s">
        <v>242</v>
      </c>
      <c r="B109" s="77">
        <v>45545</v>
      </c>
      <c r="C109" s="76" t="s">
        <v>55</v>
      </c>
      <c r="D109" s="76" t="s">
        <v>56</v>
      </c>
      <c r="E109" s="76" t="s">
        <v>114</v>
      </c>
      <c r="F109" s="76" t="s">
        <v>115</v>
      </c>
      <c r="G109" s="76" t="s">
        <v>33</v>
      </c>
      <c r="H109" s="78">
        <v>1</v>
      </c>
      <c r="I109" s="79">
        <v>79.989999999999995</v>
      </c>
      <c r="J109" s="76" t="s">
        <v>20</v>
      </c>
      <c r="K109" s="76" t="s">
        <v>50</v>
      </c>
      <c r="L109" s="76" t="s">
        <v>22</v>
      </c>
      <c r="M109" s="77">
        <v>44693</v>
      </c>
      <c r="N109" s="79">
        <f t="shared" si="1"/>
        <v>79.989999999999995</v>
      </c>
    </row>
    <row r="110" spans="1:14" x14ac:dyDescent="0.25">
      <c r="A110" s="72" t="s">
        <v>243</v>
      </c>
      <c r="B110" s="73">
        <v>45547</v>
      </c>
      <c r="C110" s="72" t="s">
        <v>48</v>
      </c>
      <c r="D110" s="72" t="s">
        <v>49</v>
      </c>
      <c r="E110" s="72" t="s">
        <v>105</v>
      </c>
      <c r="F110" s="72" t="s">
        <v>106</v>
      </c>
      <c r="G110" s="72" t="s">
        <v>46</v>
      </c>
      <c r="H110" s="74">
        <v>3</v>
      </c>
      <c r="I110" s="75">
        <v>299.99</v>
      </c>
      <c r="J110" s="72" t="s">
        <v>26</v>
      </c>
      <c r="K110" s="72" t="s">
        <v>21</v>
      </c>
      <c r="L110" s="72" t="s">
        <v>27</v>
      </c>
      <c r="M110" s="73">
        <v>44494</v>
      </c>
      <c r="N110" s="75">
        <f t="shared" si="1"/>
        <v>899.97</v>
      </c>
    </row>
    <row r="111" spans="1:14" x14ac:dyDescent="0.25">
      <c r="A111" s="76" t="s">
        <v>244</v>
      </c>
      <c r="B111" s="77">
        <v>45548</v>
      </c>
      <c r="C111" s="76" t="s">
        <v>38</v>
      </c>
      <c r="D111" s="76" t="s">
        <v>39</v>
      </c>
      <c r="E111" s="76" t="s">
        <v>117</v>
      </c>
      <c r="F111" s="76" t="s">
        <v>118</v>
      </c>
      <c r="G111" s="76" t="s">
        <v>19</v>
      </c>
      <c r="H111" s="78">
        <v>2</v>
      </c>
      <c r="I111" s="79">
        <v>89.99</v>
      </c>
      <c r="J111" s="76" t="s">
        <v>26</v>
      </c>
      <c r="K111" s="76" t="s">
        <v>35</v>
      </c>
      <c r="L111" s="76" t="s">
        <v>27</v>
      </c>
      <c r="M111" s="77">
        <v>44641</v>
      </c>
      <c r="N111" s="79">
        <f t="shared" si="1"/>
        <v>179.98</v>
      </c>
    </row>
    <row r="112" spans="1:14" x14ac:dyDescent="0.25">
      <c r="A112" s="72" t="s">
        <v>245</v>
      </c>
      <c r="B112" s="73">
        <v>45550</v>
      </c>
      <c r="C112" s="72" t="s">
        <v>246</v>
      </c>
      <c r="D112" s="72" t="s">
        <v>247</v>
      </c>
      <c r="E112" s="72" t="s">
        <v>52</v>
      </c>
      <c r="F112" s="72" t="s">
        <v>53</v>
      </c>
      <c r="G112" s="72" t="s">
        <v>19</v>
      </c>
      <c r="H112" s="74">
        <v>4</v>
      </c>
      <c r="I112" s="75">
        <v>149.99</v>
      </c>
      <c r="J112" s="72" t="s">
        <v>20</v>
      </c>
      <c r="K112" s="72" t="s">
        <v>40</v>
      </c>
      <c r="L112" s="72" t="s">
        <v>22</v>
      </c>
      <c r="M112" s="73">
        <v>44909</v>
      </c>
      <c r="N112" s="75">
        <f t="shared" si="1"/>
        <v>599.96</v>
      </c>
    </row>
    <row r="113" spans="1:14" x14ac:dyDescent="0.25">
      <c r="A113" s="76" t="s">
        <v>248</v>
      </c>
      <c r="B113" s="77">
        <v>45551</v>
      </c>
      <c r="C113" s="76" t="s">
        <v>65</v>
      </c>
      <c r="D113" s="76" t="s">
        <v>66</v>
      </c>
      <c r="E113" s="76" t="s">
        <v>17</v>
      </c>
      <c r="F113" s="76" t="s">
        <v>18</v>
      </c>
      <c r="G113" s="76" t="s">
        <v>19</v>
      </c>
      <c r="H113" s="78">
        <v>2</v>
      </c>
      <c r="I113" s="79">
        <v>249.99</v>
      </c>
      <c r="J113" s="76" t="s">
        <v>34</v>
      </c>
      <c r="K113" s="76" t="s">
        <v>35</v>
      </c>
      <c r="L113" s="76" t="s">
        <v>22</v>
      </c>
      <c r="M113" s="77">
        <v>44993</v>
      </c>
      <c r="N113" s="79">
        <f t="shared" si="1"/>
        <v>499.98</v>
      </c>
    </row>
    <row r="114" spans="1:14" x14ac:dyDescent="0.25">
      <c r="A114" s="72" t="s">
        <v>249</v>
      </c>
      <c r="B114" s="73">
        <v>45551</v>
      </c>
      <c r="C114" s="72" t="s">
        <v>154</v>
      </c>
      <c r="D114" s="72" t="s">
        <v>155</v>
      </c>
      <c r="E114" s="72" t="s">
        <v>126</v>
      </c>
      <c r="F114" s="72" t="s">
        <v>127</v>
      </c>
      <c r="G114" s="72" t="s">
        <v>46</v>
      </c>
      <c r="H114" s="74">
        <v>4</v>
      </c>
      <c r="I114" s="75">
        <v>199.99</v>
      </c>
      <c r="J114" s="72" t="s">
        <v>57</v>
      </c>
      <c r="K114" s="72" t="s">
        <v>63</v>
      </c>
      <c r="L114" s="72" t="s">
        <v>22</v>
      </c>
      <c r="M114" s="73">
        <v>44458</v>
      </c>
      <c r="N114" s="75">
        <f t="shared" si="1"/>
        <v>799.96</v>
      </c>
    </row>
    <row r="115" spans="1:14" x14ac:dyDescent="0.25">
      <c r="A115" s="76" t="s">
        <v>250</v>
      </c>
      <c r="B115" s="77">
        <v>45554</v>
      </c>
      <c r="C115" s="76" t="s">
        <v>147</v>
      </c>
      <c r="D115" s="76" t="s">
        <v>148</v>
      </c>
      <c r="E115" s="76" t="s">
        <v>117</v>
      </c>
      <c r="F115" s="76" t="s">
        <v>118</v>
      </c>
      <c r="G115" s="76" t="s">
        <v>19</v>
      </c>
      <c r="H115" s="78">
        <v>5</v>
      </c>
      <c r="I115" s="79">
        <v>89.99</v>
      </c>
      <c r="J115" s="76" t="s">
        <v>26</v>
      </c>
      <c r="K115" s="76" t="s">
        <v>63</v>
      </c>
      <c r="L115" s="76" t="s">
        <v>27</v>
      </c>
      <c r="M115" s="77">
        <v>44446</v>
      </c>
      <c r="N115" s="79">
        <f t="shared" si="1"/>
        <v>449.95</v>
      </c>
    </row>
    <row r="116" spans="1:14" x14ac:dyDescent="0.25">
      <c r="A116" s="72" t="s">
        <v>251</v>
      </c>
      <c r="B116" s="73">
        <v>45554</v>
      </c>
      <c r="C116" s="72" t="s">
        <v>252</v>
      </c>
      <c r="D116" s="72" t="s">
        <v>253</v>
      </c>
      <c r="E116" s="72" t="s">
        <v>52</v>
      </c>
      <c r="F116" s="72" t="s">
        <v>53</v>
      </c>
      <c r="G116" s="72" t="s">
        <v>19</v>
      </c>
      <c r="H116" s="74">
        <v>1</v>
      </c>
      <c r="I116" s="75">
        <v>149.99</v>
      </c>
      <c r="J116" s="72" t="s">
        <v>34</v>
      </c>
      <c r="K116" s="72" t="s">
        <v>63</v>
      </c>
      <c r="L116" s="72" t="s">
        <v>36</v>
      </c>
      <c r="M116" s="73">
        <v>44482</v>
      </c>
      <c r="N116" s="75">
        <f t="shared" si="1"/>
        <v>149.99</v>
      </c>
    </row>
    <row r="117" spans="1:14" x14ac:dyDescent="0.25">
      <c r="A117" s="76" t="s">
        <v>254</v>
      </c>
      <c r="B117" s="77">
        <v>45554</v>
      </c>
      <c r="C117" s="76" t="s">
        <v>72</v>
      </c>
      <c r="D117" s="76" t="s">
        <v>73</v>
      </c>
      <c r="E117" s="76" t="s">
        <v>80</v>
      </c>
      <c r="F117" s="76" t="s">
        <v>81</v>
      </c>
      <c r="G117" s="76" t="s">
        <v>19</v>
      </c>
      <c r="H117" s="78">
        <v>4</v>
      </c>
      <c r="I117" s="79">
        <v>699.99</v>
      </c>
      <c r="J117" s="76" t="s">
        <v>34</v>
      </c>
      <c r="K117" s="76" t="s">
        <v>35</v>
      </c>
      <c r="L117" s="76" t="s">
        <v>22</v>
      </c>
      <c r="M117" s="77">
        <v>44618</v>
      </c>
      <c r="N117" s="79">
        <f t="shared" si="1"/>
        <v>2799.96</v>
      </c>
    </row>
    <row r="118" spans="1:14" x14ac:dyDescent="0.25">
      <c r="A118" s="72" t="s">
        <v>255</v>
      </c>
      <c r="B118" s="73">
        <v>45559</v>
      </c>
      <c r="C118" s="72" t="s">
        <v>234</v>
      </c>
      <c r="D118" s="72" t="s">
        <v>235</v>
      </c>
      <c r="E118" s="72" t="s">
        <v>61</v>
      </c>
      <c r="F118" s="72" t="s">
        <v>62</v>
      </c>
      <c r="G118" s="72" t="s">
        <v>19</v>
      </c>
      <c r="H118" s="74">
        <v>3</v>
      </c>
      <c r="I118" s="75">
        <v>899.99</v>
      </c>
      <c r="J118" s="72" t="s">
        <v>26</v>
      </c>
      <c r="K118" s="72" t="s">
        <v>40</v>
      </c>
      <c r="L118" s="72" t="s">
        <v>36</v>
      </c>
      <c r="M118" s="73">
        <v>45157</v>
      </c>
      <c r="N118" s="75">
        <f t="shared" si="1"/>
        <v>2699.9700000000003</v>
      </c>
    </row>
    <row r="119" spans="1:14" x14ac:dyDescent="0.25">
      <c r="A119" s="76" t="s">
        <v>256</v>
      </c>
      <c r="B119" s="77">
        <v>45560</v>
      </c>
      <c r="C119" s="76" t="s">
        <v>112</v>
      </c>
      <c r="D119" s="76" t="s">
        <v>113</v>
      </c>
      <c r="E119" s="76" t="s">
        <v>44</v>
      </c>
      <c r="F119" s="76" t="s">
        <v>45</v>
      </c>
      <c r="G119" s="76" t="s">
        <v>46</v>
      </c>
      <c r="H119" s="78">
        <v>3</v>
      </c>
      <c r="I119" s="79">
        <v>149.99</v>
      </c>
      <c r="J119" s="76" t="s">
        <v>34</v>
      </c>
      <c r="K119" s="76" t="s">
        <v>63</v>
      </c>
      <c r="L119" s="76" t="s">
        <v>22</v>
      </c>
      <c r="M119" s="77">
        <v>44886</v>
      </c>
      <c r="N119" s="79">
        <f t="shared" si="1"/>
        <v>449.97</v>
      </c>
    </row>
    <row r="120" spans="1:14" x14ac:dyDescent="0.25">
      <c r="A120" s="72" t="s">
        <v>257</v>
      </c>
      <c r="B120" s="73">
        <v>45563</v>
      </c>
      <c r="C120" s="72" t="s">
        <v>99</v>
      </c>
      <c r="D120" s="72" t="s">
        <v>100</v>
      </c>
      <c r="E120" s="72" t="s">
        <v>105</v>
      </c>
      <c r="F120" s="72" t="s">
        <v>106</v>
      </c>
      <c r="G120" s="72" t="s">
        <v>46</v>
      </c>
      <c r="H120" s="74">
        <v>2</v>
      </c>
      <c r="I120" s="75">
        <v>299.99</v>
      </c>
      <c r="J120" s="72" t="s">
        <v>57</v>
      </c>
      <c r="K120" s="72" t="s">
        <v>21</v>
      </c>
      <c r="L120" s="72" t="s">
        <v>22</v>
      </c>
      <c r="M120" s="73">
        <v>44569</v>
      </c>
      <c r="N120" s="75">
        <f t="shared" si="1"/>
        <v>599.98</v>
      </c>
    </row>
    <row r="121" spans="1:14" x14ac:dyDescent="0.25">
      <c r="A121" s="76" t="s">
        <v>258</v>
      </c>
      <c r="B121" s="77">
        <v>45564</v>
      </c>
      <c r="C121" s="76" t="s">
        <v>259</v>
      </c>
      <c r="D121" s="76" t="s">
        <v>260</v>
      </c>
      <c r="E121" s="76" t="s">
        <v>126</v>
      </c>
      <c r="F121" s="76" t="s">
        <v>127</v>
      </c>
      <c r="G121" s="76" t="s">
        <v>46</v>
      </c>
      <c r="H121" s="78">
        <v>1</v>
      </c>
      <c r="I121" s="79">
        <v>199.99</v>
      </c>
      <c r="J121" s="76" t="s">
        <v>57</v>
      </c>
      <c r="K121" s="76" t="s">
        <v>63</v>
      </c>
      <c r="L121" s="76" t="s">
        <v>36</v>
      </c>
      <c r="M121" s="77">
        <v>44953</v>
      </c>
      <c r="N121" s="79">
        <f t="shared" si="1"/>
        <v>199.99</v>
      </c>
    </row>
    <row r="122" spans="1:14" x14ac:dyDescent="0.25">
      <c r="A122" s="72" t="s">
        <v>261</v>
      </c>
      <c r="B122" s="73">
        <v>45566</v>
      </c>
      <c r="C122" s="72" t="s">
        <v>42</v>
      </c>
      <c r="D122" s="72" t="s">
        <v>43</v>
      </c>
      <c r="E122" s="72" t="s">
        <v>105</v>
      </c>
      <c r="F122" s="72" t="s">
        <v>106</v>
      </c>
      <c r="G122" s="72" t="s">
        <v>46</v>
      </c>
      <c r="H122" s="74">
        <v>4</v>
      </c>
      <c r="I122" s="75">
        <v>299.99</v>
      </c>
      <c r="J122" s="72" t="s">
        <v>20</v>
      </c>
      <c r="K122" s="72" t="s">
        <v>21</v>
      </c>
      <c r="L122" s="72" t="s">
        <v>27</v>
      </c>
      <c r="M122" s="73">
        <v>44460</v>
      </c>
      <c r="N122" s="75">
        <f t="shared" si="1"/>
        <v>1199.96</v>
      </c>
    </row>
    <row r="123" spans="1:14" x14ac:dyDescent="0.25">
      <c r="A123" s="76" t="s">
        <v>262</v>
      </c>
      <c r="B123" s="77">
        <v>45572</v>
      </c>
      <c r="C123" s="76" t="s">
        <v>89</v>
      </c>
      <c r="D123" s="76" t="s">
        <v>90</v>
      </c>
      <c r="E123" s="76" t="s">
        <v>31</v>
      </c>
      <c r="F123" s="76" t="s">
        <v>32</v>
      </c>
      <c r="G123" s="76" t="s">
        <v>33</v>
      </c>
      <c r="H123" s="78">
        <v>2</v>
      </c>
      <c r="I123" s="79">
        <v>59.99</v>
      </c>
      <c r="J123" s="76" t="s">
        <v>26</v>
      </c>
      <c r="K123" s="76" t="s">
        <v>21</v>
      </c>
      <c r="L123" s="76" t="s">
        <v>22</v>
      </c>
      <c r="M123" s="77">
        <v>44579</v>
      </c>
      <c r="N123" s="79">
        <f t="shared" si="1"/>
        <v>119.98</v>
      </c>
    </row>
    <row r="124" spans="1:14" x14ac:dyDescent="0.25">
      <c r="A124" s="72" t="s">
        <v>263</v>
      </c>
      <c r="B124" s="73">
        <v>45572</v>
      </c>
      <c r="C124" s="72" t="s">
        <v>234</v>
      </c>
      <c r="D124" s="72" t="s">
        <v>235</v>
      </c>
      <c r="E124" s="72" t="s">
        <v>52</v>
      </c>
      <c r="F124" s="72" t="s">
        <v>53</v>
      </c>
      <c r="G124" s="72" t="s">
        <v>19</v>
      </c>
      <c r="H124" s="74">
        <v>4</v>
      </c>
      <c r="I124" s="75">
        <v>149.99</v>
      </c>
      <c r="J124" s="72" t="s">
        <v>26</v>
      </c>
      <c r="K124" s="72" t="s">
        <v>40</v>
      </c>
      <c r="L124" s="72" t="s">
        <v>27</v>
      </c>
      <c r="M124" s="73">
        <v>45076</v>
      </c>
      <c r="N124" s="75">
        <f t="shared" si="1"/>
        <v>599.96</v>
      </c>
    </row>
    <row r="125" spans="1:14" x14ac:dyDescent="0.25">
      <c r="A125" s="76" t="s">
        <v>264</v>
      </c>
      <c r="B125" s="77">
        <v>45573</v>
      </c>
      <c r="C125" s="76" t="s">
        <v>211</v>
      </c>
      <c r="D125" s="76" t="s">
        <v>212</v>
      </c>
      <c r="E125" s="76" t="s">
        <v>80</v>
      </c>
      <c r="F125" s="76" t="s">
        <v>81</v>
      </c>
      <c r="G125" s="76" t="s">
        <v>19</v>
      </c>
      <c r="H125" s="78">
        <v>2</v>
      </c>
      <c r="I125" s="79">
        <v>699.99</v>
      </c>
      <c r="J125" s="76" t="s">
        <v>57</v>
      </c>
      <c r="K125" s="76" t="s">
        <v>63</v>
      </c>
      <c r="L125" s="76" t="s">
        <v>27</v>
      </c>
      <c r="M125" s="77">
        <v>45274</v>
      </c>
      <c r="N125" s="79">
        <f t="shared" si="1"/>
        <v>1399.98</v>
      </c>
    </row>
    <row r="126" spans="1:14" x14ac:dyDescent="0.25">
      <c r="A126" s="72" t="s">
        <v>265</v>
      </c>
      <c r="B126" s="73">
        <v>45573</v>
      </c>
      <c r="C126" s="72" t="s">
        <v>231</v>
      </c>
      <c r="D126" s="72" t="s">
        <v>232</v>
      </c>
      <c r="E126" s="72" t="s">
        <v>44</v>
      </c>
      <c r="F126" s="72" t="s">
        <v>45</v>
      </c>
      <c r="G126" s="72" t="s">
        <v>46</v>
      </c>
      <c r="H126" s="74">
        <v>3</v>
      </c>
      <c r="I126" s="75">
        <v>149.99</v>
      </c>
      <c r="J126" s="72" t="s">
        <v>26</v>
      </c>
      <c r="K126" s="72" t="s">
        <v>35</v>
      </c>
      <c r="L126" s="72" t="s">
        <v>36</v>
      </c>
      <c r="M126" s="73">
        <v>44940</v>
      </c>
      <c r="N126" s="75">
        <f t="shared" si="1"/>
        <v>449.97</v>
      </c>
    </row>
    <row r="127" spans="1:14" x14ac:dyDescent="0.25">
      <c r="A127" s="76" t="s">
        <v>266</v>
      </c>
      <c r="B127" s="77">
        <v>45576</v>
      </c>
      <c r="C127" s="76" t="s">
        <v>147</v>
      </c>
      <c r="D127" s="76" t="s">
        <v>148</v>
      </c>
      <c r="E127" s="76" t="s">
        <v>105</v>
      </c>
      <c r="F127" s="76" t="s">
        <v>106</v>
      </c>
      <c r="G127" s="76" t="s">
        <v>46</v>
      </c>
      <c r="H127" s="78">
        <v>3</v>
      </c>
      <c r="I127" s="79">
        <v>299.99</v>
      </c>
      <c r="J127" s="76" t="s">
        <v>26</v>
      </c>
      <c r="K127" s="76" t="s">
        <v>21</v>
      </c>
      <c r="L127" s="76" t="s">
        <v>36</v>
      </c>
      <c r="M127" s="77">
        <v>45174</v>
      </c>
      <c r="N127" s="79">
        <f t="shared" si="1"/>
        <v>899.97</v>
      </c>
    </row>
    <row r="128" spans="1:14" x14ac:dyDescent="0.25">
      <c r="A128" s="72" t="s">
        <v>267</v>
      </c>
      <c r="B128" s="73">
        <v>45579</v>
      </c>
      <c r="C128" s="72" t="s">
        <v>83</v>
      </c>
      <c r="D128" s="72" t="s">
        <v>84</v>
      </c>
      <c r="E128" s="72" t="s">
        <v>61</v>
      </c>
      <c r="F128" s="72" t="s">
        <v>62</v>
      </c>
      <c r="G128" s="72" t="s">
        <v>19</v>
      </c>
      <c r="H128" s="74">
        <v>3</v>
      </c>
      <c r="I128" s="75">
        <v>899.99</v>
      </c>
      <c r="J128" s="72" t="s">
        <v>34</v>
      </c>
      <c r="K128" s="72" t="s">
        <v>50</v>
      </c>
      <c r="L128" s="72" t="s">
        <v>22</v>
      </c>
      <c r="M128" s="73">
        <v>45215</v>
      </c>
      <c r="N128" s="75">
        <f t="shared" si="1"/>
        <v>2699.9700000000003</v>
      </c>
    </row>
    <row r="129" spans="1:14" x14ac:dyDescent="0.25">
      <c r="A129" s="76" t="s">
        <v>268</v>
      </c>
      <c r="B129" s="77">
        <v>45581</v>
      </c>
      <c r="C129" s="76" t="s">
        <v>96</v>
      </c>
      <c r="D129" s="76" t="s">
        <v>97</v>
      </c>
      <c r="E129" s="76" t="s">
        <v>80</v>
      </c>
      <c r="F129" s="76" t="s">
        <v>81</v>
      </c>
      <c r="G129" s="76" t="s">
        <v>19</v>
      </c>
      <c r="H129" s="78">
        <v>5</v>
      </c>
      <c r="I129" s="79">
        <v>699.99</v>
      </c>
      <c r="J129" s="76" t="s">
        <v>20</v>
      </c>
      <c r="K129" s="76" t="s">
        <v>63</v>
      </c>
      <c r="L129" s="76" t="s">
        <v>36</v>
      </c>
      <c r="M129" s="77">
        <v>45008</v>
      </c>
      <c r="N129" s="79">
        <f t="shared" si="1"/>
        <v>3499.95</v>
      </c>
    </row>
    <row r="130" spans="1:14" x14ac:dyDescent="0.25">
      <c r="A130" s="72" t="s">
        <v>269</v>
      </c>
      <c r="B130" s="73">
        <v>45581</v>
      </c>
      <c r="C130" s="72" t="s">
        <v>171</v>
      </c>
      <c r="D130" s="72" t="s">
        <v>172</v>
      </c>
      <c r="E130" s="72" t="s">
        <v>80</v>
      </c>
      <c r="F130" s="72" t="s">
        <v>81</v>
      </c>
      <c r="G130" s="72" t="s">
        <v>19</v>
      </c>
      <c r="H130" s="74">
        <v>4</v>
      </c>
      <c r="I130" s="75">
        <v>699.99</v>
      </c>
      <c r="J130" s="72" t="s">
        <v>26</v>
      </c>
      <c r="K130" s="72" t="s">
        <v>21</v>
      </c>
      <c r="L130" s="72" t="s">
        <v>22</v>
      </c>
      <c r="M130" s="73">
        <v>45385</v>
      </c>
      <c r="N130" s="75">
        <f t="shared" si="1"/>
        <v>2799.96</v>
      </c>
    </row>
    <row r="131" spans="1:14" x14ac:dyDescent="0.25">
      <c r="A131" s="76" t="s">
        <v>270</v>
      </c>
      <c r="B131" s="77">
        <v>45581</v>
      </c>
      <c r="C131" s="76" t="s">
        <v>150</v>
      </c>
      <c r="D131" s="76" t="s">
        <v>151</v>
      </c>
      <c r="E131" s="76" t="s">
        <v>61</v>
      </c>
      <c r="F131" s="76" t="s">
        <v>62</v>
      </c>
      <c r="G131" s="76" t="s">
        <v>19</v>
      </c>
      <c r="H131" s="78">
        <v>1</v>
      </c>
      <c r="I131" s="79">
        <v>899.99</v>
      </c>
      <c r="J131" s="76" t="s">
        <v>26</v>
      </c>
      <c r="K131" s="76" t="s">
        <v>63</v>
      </c>
      <c r="L131" s="76" t="s">
        <v>36</v>
      </c>
      <c r="M131" s="77">
        <v>45369</v>
      </c>
      <c r="N131" s="79">
        <f t="shared" ref="N131:N194" si="2">H131*I131</f>
        <v>899.99</v>
      </c>
    </row>
    <row r="132" spans="1:14" x14ac:dyDescent="0.25">
      <c r="A132" s="72" t="s">
        <v>271</v>
      </c>
      <c r="B132" s="73">
        <v>45583</v>
      </c>
      <c r="C132" s="72" t="s">
        <v>226</v>
      </c>
      <c r="D132" s="72" t="s">
        <v>227</v>
      </c>
      <c r="E132" s="72" t="s">
        <v>52</v>
      </c>
      <c r="F132" s="72" t="s">
        <v>53</v>
      </c>
      <c r="G132" s="72" t="s">
        <v>19</v>
      </c>
      <c r="H132" s="74">
        <v>2</v>
      </c>
      <c r="I132" s="75">
        <v>149.99</v>
      </c>
      <c r="J132" s="72" t="s">
        <v>26</v>
      </c>
      <c r="K132" s="72" t="s">
        <v>50</v>
      </c>
      <c r="L132" s="72" t="s">
        <v>22</v>
      </c>
      <c r="M132" s="73">
        <v>44916</v>
      </c>
      <c r="N132" s="75">
        <f t="shared" si="2"/>
        <v>299.98</v>
      </c>
    </row>
    <row r="133" spans="1:14" x14ac:dyDescent="0.25">
      <c r="A133" s="76" t="s">
        <v>272</v>
      </c>
      <c r="B133" s="77">
        <v>45586</v>
      </c>
      <c r="C133" s="76" t="s">
        <v>226</v>
      </c>
      <c r="D133" s="76" t="s">
        <v>227</v>
      </c>
      <c r="E133" s="76" t="s">
        <v>117</v>
      </c>
      <c r="F133" s="76" t="s">
        <v>118</v>
      </c>
      <c r="G133" s="76" t="s">
        <v>19</v>
      </c>
      <c r="H133" s="78">
        <v>3</v>
      </c>
      <c r="I133" s="79">
        <v>89.99</v>
      </c>
      <c r="J133" s="76" t="s">
        <v>34</v>
      </c>
      <c r="K133" s="76" t="s">
        <v>21</v>
      </c>
      <c r="L133" s="76" t="s">
        <v>22</v>
      </c>
      <c r="M133" s="77">
        <v>44551</v>
      </c>
      <c r="N133" s="79">
        <f t="shared" si="2"/>
        <v>269.96999999999997</v>
      </c>
    </row>
    <row r="134" spans="1:14" x14ac:dyDescent="0.25">
      <c r="A134" s="72" t="s">
        <v>273</v>
      </c>
      <c r="B134" s="73">
        <v>45588</v>
      </c>
      <c r="C134" s="72" t="s">
        <v>38</v>
      </c>
      <c r="D134" s="72" t="s">
        <v>39</v>
      </c>
      <c r="E134" s="72" t="s">
        <v>52</v>
      </c>
      <c r="F134" s="72" t="s">
        <v>53</v>
      </c>
      <c r="G134" s="72" t="s">
        <v>19</v>
      </c>
      <c r="H134" s="74">
        <v>2</v>
      </c>
      <c r="I134" s="75">
        <v>149.99</v>
      </c>
      <c r="J134" s="72" t="s">
        <v>34</v>
      </c>
      <c r="K134" s="72" t="s">
        <v>21</v>
      </c>
      <c r="L134" s="72" t="s">
        <v>22</v>
      </c>
      <c r="M134" s="73">
        <v>44473</v>
      </c>
      <c r="N134" s="75">
        <f t="shared" si="2"/>
        <v>299.98</v>
      </c>
    </row>
    <row r="135" spans="1:14" x14ac:dyDescent="0.25">
      <c r="A135" s="76" t="s">
        <v>274</v>
      </c>
      <c r="B135" s="77">
        <v>45588</v>
      </c>
      <c r="C135" s="76" t="s">
        <v>154</v>
      </c>
      <c r="D135" s="76" t="s">
        <v>155</v>
      </c>
      <c r="E135" s="76" t="s">
        <v>80</v>
      </c>
      <c r="F135" s="76" t="s">
        <v>81</v>
      </c>
      <c r="G135" s="76" t="s">
        <v>19</v>
      </c>
      <c r="H135" s="78">
        <v>2</v>
      </c>
      <c r="I135" s="79">
        <v>699.99</v>
      </c>
      <c r="J135" s="76" t="s">
        <v>20</v>
      </c>
      <c r="K135" s="76" t="s">
        <v>21</v>
      </c>
      <c r="L135" s="76" t="s">
        <v>22</v>
      </c>
      <c r="M135" s="77">
        <v>44992</v>
      </c>
      <c r="N135" s="79">
        <f t="shared" si="2"/>
        <v>1399.98</v>
      </c>
    </row>
    <row r="136" spans="1:14" x14ac:dyDescent="0.25">
      <c r="A136" s="72" t="s">
        <v>275</v>
      </c>
      <c r="B136" s="73">
        <v>45589</v>
      </c>
      <c r="C136" s="72" t="s">
        <v>158</v>
      </c>
      <c r="D136" s="72" t="s">
        <v>159</v>
      </c>
      <c r="E136" s="72" t="s">
        <v>80</v>
      </c>
      <c r="F136" s="72" t="s">
        <v>81</v>
      </c>
      <c r="G136" s="72" t="s">
        <v>19</v>
      </c>
      <c r="H136" s="74">
        <v>5</v>
      </c>
      <c r="I136" s="75">
        <v>699.99</v>
      </c>
      <c r="J136" s="72" t="s">
        <v>20</v>
      </c>
      <c r="K136" s="72" t="s">
        <v>40</v>
      </c>
      <c r="L136" s="72" t="s">
        <v>27</v>
      </c>
      <c r="M136" s="73">
        <v>44635</v>
      </c>
      <c r="N136" s="75">
        <f t="shared" si="2"/>
        <v>3499.95</v>
      </c>
    </row>
    <row r="137" spans="1:14" x14ac:dyDescent="0.25">
      <c r="A137" s="76" t="s">
        <v>276</v>
      </c>
      <c r="B137" s="77">
        <v>45592</v>
      </c>
      <c r="C137" s="76" t="s">
        <v>171</v>
      </c>
      <c r="D137" s="76" t="s">
        <v>172</v>
      </c>
      <c r="E137" s="76" t="s">
        <v>117</v>
      </c>
      <c r="F137" s="76" t="s">
        <v>118</v>
      </c>
      <c r="G137" s="76" t="s">
        <v>19</v>
      </c>
      <c r="H137" s="78">
        <v>3</v>
      </c>
      <c r="I137" s="79">
        <v>89.99</v>
      </c>
      <c r="J137" s="76" t="s">
        <v>26</v>
      </c>
      <c r="K137" s="76" t="s">
        <v>40</v>
      </c>
      <c r="L137" s="76" t="s">
        <v>36</v>
      </c>
      <c r="M137" s="77">
        <v>44615</v>
      </c>
      <c r="N137" s="79">
        <f t="shared" si="2"/>
        <v>269.96999999999997</v>
      </c>
    </row>
    <row r="138" spans="1:14" x14ac:dyDescent="0.25">
      <c r="A138" s="72" t="s">
        <v>277</v>
      </c>
      <c r="B138" s="73">
        <v>45597</v>
      </c>
      <c r="C138" s="72" t="s">
        <v>15</v>
      </c>
      <c r="D138" s="72" t="s">
        <v>16</v>
      </c>
      <c r="E138" s="72" t="s">
        <v>17</v>
      </c>
      <c r="F138" s="72" t="s">
        <v>18</v>
      </c>
      <c r="G138" s="72" t="s">
        <v>19</v>
      </c>
      <c r="H138" s="74">
        <v>5</v>
      </c>
      <c r="I138" s="75">
        <v>249.99</v>
      </c>
      <c r="J138" s="72" t="s">
        <v>26</v>
      </c>
      <c r="K138" s="72" t="s">
        <v>35</v>
      </c>
      <c r="L138" s="72" t="s">
        <v>36</v>
      </c>
      <c r="M138" s="73">
        <v>44881</v>
      </c>
      <c r="N138" s="75">
        <f t="shared" si="2"/>
        <v>1249.95</v>
      </c>
    </row>
    <row r="139" spans="1:14" x14ac:dyDescent="0.25">
      <c r="A139" s="76" t="s">
        <v>278</v>
      </c>
      <c r="B139" s="77">
        <v>45600</v>
      </c>
      <c r="C139" s="76" t="s">
        <v>65</v>
      </c>
      <c r="D139" s="76" t="s">
        <v>66</v>
      </c>
      <c r="E139" s="76" t="s">
        <v>105</v>
      </c>
      <c r="F139" s="76" t="s">
        <v>106</v>
      </c>
      <c r="G139" s="76" t="s">
        <v>46</v>
      </c>
      <c r="H139" s="78">
        <v>3</v>
      </c>
      <c r="I139" s="79">
        <v>299.99</v>
      </c>
      <c r="J139" s="76" t="s">
        <v>26</v>
      </c>
      <c r="K139" s="76" t="s">
        <v>35</v>
      </c>
      <c r="L139" s="76" t="s">
        <v>36</v>
      </c>
      <c r="M139" s="77">
        <v>44502</v>
      </c>
      <c r="N139" s="79">
        <f t="shared" si="2"/>
        <v>899.97</v>
      </c>
    </row>
    <row r="140" spans="1:14" x14ac:dyDescent="0.25">
      <c r="A140" s="72" t="s">
        <v>279</v>
      </c>
      <c r="B140" s="73">
        <v>45603</v>
      </c>
      <c r="C140" s="72" t="s">
        <v>99</v>
      </c>
      <c r="D140" s="72" t="s">
        <v>100</v>
      </c>
      <c r="E140" s="72" t="s">
        <v>117</v>
      </c>
      <c r="F140" s="72" t="s">
        <v>118</v>
      </c>
      <c r="G140" s="72" t="s">
        <v>19</v>
      </c>
      <c r="H140" s="74">
        <v>3</v>
      </c>
      <c r="I140" s="75">
        <v>89.99</v>
      </c>
      <c r="J140" s="72" t="s">
        <v>26</v>
      </c>
      <c r="K140" s="72" t="s">
        <v>40</v>
      </c>
      <c r="L140" s="72" t="s">
        <v>27</v>
      </c>
      <c r="M140" s="73">
        <v>44420</v>
      </c>
      <c r="N140" s="75">
        <f t="shared" si="2"/>
        <v>269.96999999999997</v>
      </c>
    </row>
    <row r="141" spans="1:14" x14ac:dyDescent="0.25">
      <c r="A141" s="76" t="s">
        <v>280</v>
      </c>
      <c r="B141" s="77">
        <v>45604</v>
      </c>
      <c r="C141" s="76" t="s">
        <v>89</v>
      </c>
      <c r="D141" s="76" t="s">
        <v>90</v>
      </c>
      <c r="E141" s="76" t="s">
        <v>44</v>
      </c>
      <c r="F141" s="76" t="s">
        <v>45</v>
      </c>
      <c r="G141" s="76" t="s">
        <v>46</v>
      </c>
      <c r="H141" s="78">
        <v>2</v>
      </c>
      <c r="I141" s="79">
        <v>149.99</v>
      </c>
      <c r="J141" s="76" t="s">
        <v>26</v>
      </c>
      <c r="K141" s="76" t="s">
        <v>50</v>
      </c>
      <c r="L141" s="76" t="s">
        <v>27</v>
      </c>
      <c r="M141" s="77">
        <v>44848</v>
      </c>
      <c r="N141" s="79">
        <f t="shared" si="2"/>
        <v>299.98</v>
      </c>
    </row>
    <row r="142" spans="1:14" x14ac:dyDescent="0.25">
      <c r="A142" s="72" t="s">
        <v>281</v>
      </c>
      <c r="B142" s="73">
        <v>45605</v>
      </c>
      <c r="C142" s="72" t="s">
        <v>185</v>
      </c>
      <c r="D142" s="72" t="s">
        <v>186</v>
      </c>
      <c r="E142" s="72" t="s">
        <v>17</v>
      </c>
      <c r="F142" s="72" t="s">
        <v>18</v>
      </c>
      <c r="G142" s="72" t="s">
        <v>19</v>
      </c>
      <c r="H142" s="74">
        <v>1</v>
      </c>
      <c r="I142" s="75">
        <v>249.99</v>
      </c>
      <c r="J142" s="72" t="s">
        <v>26</v>
      </c>
      <c r="K142" s="72" t="s">
        <v>40</v>
      </c>
      <c r="L142" s="72" t="s">
        <v>27</v>
      </c>
      <c r="M142" s="73">
        <v>44828</v>
      </c>
      <c r="N142" s="75">
        <f t="shared" si="2"/>
        <v>249.99</v>
      </c>
    </row>
    <row r="143" spans="1:14" x14ac:dyDescent="0.25">
      <c r="A143" s="76" t="s">
        <v>282</v>
      </c>
      <c r="B143" s="77">
        <v>45607</v>
      </c>
      <c r="C143" s="76" t="s">
        <v>72</v>
      </c>
      <c r="D143" s="76" t="s">
        <v>73</v>
      </c>
      <c r="E143" s="76" t="s">
        <v>52</v>
      </c>
      <c r="F143" s="76" t="s">
        <v>53</v>
      </c>
      <c r="G143" s="76" t="s">
        <v>19</v>
      </c>
      <c r="H143" s="78">
        <v>3</v>
      </c>
      <c r="I143" s="79">
        <v>149.99</v>
      </c>
      <c r="J143" s="76" t="s">
        <v>20</v>
      </c>
      <c r="K143" s="76" t="s">
        <v>40</v>
      </c>
      <c r="L143" s="76" t="s">
        <v>22</v>
      </c>
      <c r="M143" s="77">
        <v>44769</v>
      </c>
      <c r="N143" s="79">
        <f t="shared" si="2"/>
        <v>449.97</v>
      </c>
    </row>
    <row r="144" spans="1:14" x14ac:dyDescent="0.25">
      <c r="A144" s="72" t="s">
        <v>283</v>
      </c>
      <c r="B144" s="73">
        <v>45607</v>
      </c>
      <c r="C144" s="72" t="s">
        <v>15</v>
      </c>
      <c r="D144" s="72" t="s">
        <v>16</v>
      </c>
      <c r="E144" s="72" t="s">
        <v>31</v>
      </c>
      <c r="F144" s="72" t="s">
        <v>32</v>
      </c>
      <c r="G144" s="72" t="s">
        <v>33</v>
      </c>
      <c r="H144" s="74">
        <v>5</v>
      </c>
      <c r="I144" s="75">
        <v>59.99</v>
      </c>
      <c r="J144" s="72" t="s">
        <v>34</v>
      </c>
      <c r="K144" s="72" t="s">
        <v>50</v>
      </c>
      <c r="L144" s="72" t="s">
        <v>27</v>
      </c>
      <c r="M144" s="73">
        <v>44694</v>
      </c>
      <c r="N144" s="75">
        <f t="shared" si="2"/>
        <v>299.95</v>
      </c>
    </row>
    <row r="145" spans="1:14" x14ac:dyDescent="0.25">
      <c r="A145" s="76" t="s">
        <v>284</v>
      </c>
      <c r="B145" s="77">
        <v>45607</v>
      </c>
      <c r="C145" s="76" t="s">
        <v>99</v>
      </c>
      <c r="D145" s="76" t="s">
        <v>100</v>
      </c>
      <c r="E145" s="76" t="s">
        <v>17</v>
      </c>
      <c r="F145" s="76" t="s">
        <v>18</v>
      </c>
      <c r="G145" s="76" t="s">
        <v>19</v>
      </c>
      <c r="H145" s="78">
        <v>4</v>
      </c>
      <c r="I145" s="79">
        <v>249.99</v>
      </c>
      <c r="J145" s="76" t="s">
        <v>26</v>
      </c>
      <c r="K145" s="76" t="s">
        <v>50</v>
      </c>
      <c r="L145" s="76" t="s">
        <v>36</v>
      </c>
      <c r="M145" s="77">
        <v>44659</v>
      </c>
      <c r="N145" s="79">
        <f t="shared" si="2"/>
        <v>999.96</v>
      </c>
    </row>
    <row r="146" spans="1:14" x14ac:dyDescent="0.25">
      <c r="A146" s="72" t="s">
        <v>285</v>
      </c>
      <c r="B146" s="73">
        <v>45608</v>
      </c>
      <c r="C146" s="72" t="s">
        <v>154</v>
      </c>
      <c r="D146" s="72" t="s">
        <v>155</v>
      </c>
      <c r="E146" s="72" t="s">
        <v>44</v>
      </c>
      <c r="F146" s="72" t="s">
        <v>45</v>
      </c>
      <c r="G146" s="72" t="s">
        <v>46</v>
      </c>
      <c r="H146" s="74">
        <v>5</v>
      </c>
      <c r="I146" s="75">
        <v>149.99</v>
      </c>
      <c r="J146" s="72" t="s">
        <v>34</v>
      </c>
      <c r="K146" s="72" t="s">
        <v>21</v>
      </c>
      <c r="L146" s="72" t="s">
        <v>22</v>
      </c>
      <c r="M146" s="73">
        <v>44901</v>
      </c>
      <c r="N146" s="75">
        <f t="shared" si="2"/>
        <v>749.95</v>
      </c>
    </row>
    <row r="147" spans="1:14" x14ac:dyDescent="0.25">
      <c r="A147" s="76" t="s">
        <v>286</v>
      </c>
      <c r="B147" s="77">
        <v>45608</v>
      </c>
      <c r="C147" s="76" t="s">
        <v>83</v>
      </c>
      <c r="D147" s="76" t="s">
        <v>84</v>
      </c>
      <c r="E147" s="76" t="s">
        <v>31</v>
      </c>
      <c r="F147" s="76" t="s">
        <v>32</v>
      </c>
      <c r="G147" s="76" t="s">
        <v>33</v>
      </c>
      <c r="H147" s="78">
        <v>3</v>
      </c>
      <c r="I147" s="79">
        <v>59.99</v>
      </c>
      <c r="J147" s="76" t="s">
        <v>57</v>
      </c>
      <c r="K147" s="76" t="s">
        <v>35</v>
      </c>
      <c r="L147" s="76" t="s">
        <v>36</v>
      </c>
      <c r="M147" s="77">
        <v>45260</v>
      </c>
      <c r="N147" s="79">
        <f t="shared" si="2"/>
        <v>179.97</v>
      </c>
    </row>
    <row r="148" spans="1:14" x14ac:dyDescent="0.25">
      <c r="A148" s="72" t="s">
        <v>287</v>
      </c>
      <c r="B148" s="73">
        <v>45613</v>
      </c>
      <c r="C148" s="72" t="s">
        <v>234</v>
      </c>
      <c r="D148" s="72" t="s">
        <v>235</v>
      </c>
      <c r="E148" s="72" t="s">
        <v>44</v>
      </c>
      <c r="F148" s="72" t="s">
        <v>45</v>
      </c>
      <c r="G148" s="72" t="s">
        <v>46</v>
      </c>
      <c r="H148" s="74">
        <v>5</v>
      </c>
      <c r="I148" s="75">
        <v>149.99</v>
      </c>
      <c r="J148" s="72" t="s">
        <v>20</v>
      </c>
      <c r="K148" s="72" t="s">
        <v>40</v>
      </c>
      <c r="L148" s="72" t="s">
        <v>22</v>
      </c>
      <c r="M148" s="73">
        <v>44869</v>
      </c>
      <c r="N148" s="75">
        <f t="shared" si="2"/>
        <v>749.95</v>
      </c>
    </row>
    <row r="149" spans="1:14" x14ac:dyDescent="0.25">
      <c r="A149" s="76" t="s">
        <v>288</v>
      </c>
      <c r="B149" s="77">
        <v>45613</v>
      </c>
      <c r="C149" s="76" t="s">
        <v>86</v>
      </c>
      <c r="D149" s="76" t="s">
        <v>87</v>
      </c>
      <c r="E149" s="76" t="s">
        <v>80</v>
      </c>
      <c r="F149" s="76" t="s">
        <v>81</v>
      </c>
      <c r="G149" s="76" t="s">
        <v>19</v>
      </c>
      <c r="H149" s="78">
        <v>2</v>
      </c>
      <c r="I149" s="79">
        <v>699.99</v>
      </c>
      <c r="J149" s="76" t="s">
        <v>34</v>
      </c>
      <c r="K149" s="76" t="s">
        <v>50</v>
      </c>
      <c r="L149" s="76" t="s">
        <v>36</v>
      </c>
      <c r="M149" s="77">
        <v>44770</v>
      </c>
      <c r="N149" s="79">
        <f t="shared" si="2"/>
        <v>1399.98</v>
      </c>
    </row>
    <row r="150" spans="1:14" x14ac:dyDescent="0.25">
      <c r="A150" s="72" t="s">
        <v>289</v>
      </c>
      <c r="B150" s="73">
        <v>45617</v>
      </c>
      <c r="C150" s="72" t="s">
        <v>123</v>
      </c>
      <c r="D150" s="72" t="s">
        <v>124</v>
      </c>
      <c r="E150" s="72" t="s">
        <v>126</v>
      </c>
      <c r="F150" s="72" t="s">
        <v>127</v>
      </c>
      <c r="G150" s="72" t="s">
        <v>46</v>
      </c>
      <c r="H150" s="74">
        <v>4</v>
      </c>
      <c r="I150" s="75">
        <v>199.99</v>
      </c>
      <c r="J150" s="72" t="s">
        <v>57</v>
      </c>
      <c r="K150" s="72" t="s">
        <v>21</v>
      </c>
      <c r="L150" s="72" t="s">
        <v>27</v>
      </c>
      <c r="M150" s="73">
        <v>44427</v>
      </c>
      <c r="N150" s="75">
        <f t="shared" si="2"/>
        <v>799.96</v>
      </c>
    </row>
    <row r="151" spans="1:14" x14ac:dyDescent="0.25">
      <c r="A151" s="76" t="s">
        <v>290</v>
      </c>
      <c r="B151" s="77">
        <v>45619</v>
      </c>
      <c r="C151" s="76" t="s">
        <v>192</v>
      </c>
      <c r="D151" s="76" t="s">
        <v>193</v>
      </c>
      <c r="E151" s="76" t="s">
        <v>31</v>
      </c>
      <c r="F151" s="76" t="s">
        <v>32</v>
      </c>
      <c r="G151" s="76" t="s">
        <v>33</v>
      </c>
      <c r="H151" s="78">
        <v>1</v>
      </c>
      <c r="I151" s="79">
        <v>59.99</v>
      </c>
      <c r="J151" s="76" t="s">
        <v>57</v>
      </c>
      <c r="K151" s="76" t="s">
        <v>50</v>
      </c>
      <c r="L151" s="76" t="s">
        <v>36</v>
      </c>
      <c r="M151" s="77">
        <v>44560</v>
      </c>
      <c r="N151" s="79">
        <f t="shared" si="2"/>
        <v>59.99</v>
      </c>
    </row>
    <row r="152" spans="1:14" x14ac:dyDescent="0.25">
      <c r="A152" s="72" t="s">
        <v>291</v>
      </c>
      <c r="B152" s="73">
        <v>45619</v>
      </c>
      <c r="C152" s="72" t="s">
        <v>154</v>
      </c>
      <c r="D152" s="72" t="s">
        <v>155</v>
      </c>
      <c r="E152" s="72" t="s">
        <v>80</v>
      </c>
      <c r="F152" s="72" t="s">
        <v>81</v>
      </c>
      <c r="G152" s="72" t="s">
        <v>19</v>
      </c>
      <c r="H152" s="74">
        <v>3</v>
      </c>
      <c r="I152" s="75">
        <v>699.99</v>
      </c>
      <c r="J152" s="72" t="s">
        <v>34</v>
      </c>
      <c r="K152" s="72" t="s">
        <v>50</v>
      </c>
      <c r="L152" s="72" t="s">
        <v>36</v>
      </c>
      <c r="M152" s="73">
        <v>44583</v>
      </c>
      <c r="N152" s="75">
        <f t="shared" si="2"/>
        <v>2099.9700000000003</v>
      </c>
    </row>
    <row r="153" spans="1:14" x14ac:dyDescent="0.25">
      <c r="A153" s="76" t="s">
        <v>292</v>
      </c>
      <c r="B153" s="77">
        <v>45622</v>
      </c>
      <c r="C153" s="76" t="s">
        <v>293</v>
      </c>
      <c r="D153" s="76" t="s">
        <v>294</v>
      </c>
      <c r="E153" s="76" t="s">
        <v>17</v>
      </c>
      <c r="F153" s="76" t="s">
        <v>18</v>
      </c>
      <c r="G153" s="76" t="s">
        <v>19</v>
      </c>
      <c r="H153" s="78">
        <v>5</v>
      </c>
      <c r="I153" s="79">
        <v>249.99</v>
      </c>
      <c r="J153" s="76" t="s">
        <v>26</v>
      </c>
      <c r="K153" s="76" t="s">
        <v>40</v>
      </c>
      <c r="L153" s="76" t="s">
        <v>22</v>
      </c>
      <c r="M153" s="77">
        <v>44873</v>
      </c>
      <c r="N153" s="79">
        <f t="shared" si="2"/>
        <v>1249.95</v>
      </c>
    </row>
    <row r="154" spans="1:14" x14ac:dyDescent="0.25">
      <c r="A154" s="72" t="s">
        <v>295</v>
      </c>
      <c r="B154" s="73">
        <v>45623</v>
      </c>
      <c r="C154" s="72" t="s">
        <v>112</v>
      </c>
      <c r="D154" s="72" t="s">
        <v>113</v>
      </c>
      <c r="E154" s="72" t="s">
        <v>44</v>
      </c>
      <c r="F154" s="72" t="s">
        <v>45</v>
      </c>
      <c r="G154" s="72" t="s">
        <v>46</v>
      </c>
      <c r="H154" s="74">
        <v>2</v>
      </c>
      <c r="I154" s="75">
        <v>149.99</v>
      </c>
      <c r="J154" s="72" t="s">
        <v>20</v>
      </c>
      <c r="K154" s="72" t="s">
        <v>35</v>
      </c>
      <c r="L154" s="72" t="s">
        <v>36</v>
      </c>
      <c r="M154" s="73">
        <v>45101</v>
      </c>
      <c r="N154" s="75">
        <f t="shared" si="2"/>
        <v>299.98</v>
      </c>
    </row>
    <row r="155" spans="1:14" x14ac:dyDescent="0.25">
      <c r="A155" s="76" t="s">
        <v>296</v>
      </c>
      <c r="B155" s="77">
        <v>45627</v>
      </c>
      <c r="C155" s="76" t="s">
        <v>29</v>
      </c>
      <c r="D155" s="76" t="s">
        <v>30</v>
      </c>
      <c r="E155" s="76" t="s">
        <v>105</v>
      </c>
      <c r="F155" s="76" t="s">
        <v>106</v>
      </c>
      <c r="G155" s="76" t="s">
        <v>46</v>
      </c>
      <c r="H155" s="78">
        <v>3</v>
      </c>
      <c r="I155" s="79">
        <v>299.99</v>
      </c>
      <c r="J155" s="76" t="s">
        <v>20</v>
      </c>
      <c r="K155" s="76" t="s">
        <v>35</v>
      </c>
      <c r="L155" s="76" t="s">
        <v>27</v>
      </c>
      <c r="M155" s="77">
        <v>44659</v>
      </c>
      <c r="N155" s="79">
        <f t="shared" si="2"/>
        <v>899.97</v>
      </c>
    </row>
    <row r="156" spans="1:14" x14ac:dyDescent="0.25">
      <c r="A156" s="72" t="s">
        <v>297</v>
      </c>
      <c r="B156" s="73">
        <v>45627</v>
      </c>
      <c r="C156" s="72" t="s">
        <v>55</v>
      </c>
      <c r="D156" s="72" t="s">
        <v>56</v>
      </c>
      <c r="E156" s="72" t="s">
        <v>17</v>
      </c>
      <c r="F156" s="72" t="s">
        <v>18</v>
      </c>
      <c r="G156" s="72" t="s">
        <v>19</v>
      </c>
      <c r="H156" s="74">
        <v>5</v>
      </c>
      <c r="I156" s="75">
        <v>249.99</v>
      </c>
      <c r="J156" s="72" t="s">
        <v>20</v>
      </c>
      <c r="K156" s="72" t="s">
        <v>21</v>
      </c>
      <c r="L156" s="72" t="s">
        <v>27</v>
      </c>
      <c r="M156" s="73">
        <v>44485</v>
      </c>
      <c r="N156" s="75">
        <f t="shared" si="2"/>
        <v>1249.95</v>
      </c>
    </row>
    <row r="157" spans="1:14" x14ac:dyDescent="0.25">
      <c r="A157" s="76" t="s">
        <v>298</v>
      </c>
      <c r="B157" s="77">
        <v>45627</v>
      </c>
      <c r="C157" s="76" t="s">
        <v>24</v>
      </c>
      <c r="D157" s="76" t="s">
        <v>25</v>
      </c>
      <c r="E157" s="76" t="s">
        <v>52</v>
      </c>
      <c r="F157" s="76" t="s">
        <v>53</v>
      </c>
      <c r="G157" s="76" t="s">
        <v>19</v>
      </c>
      <c r="H157" s="78">
        <v>2</v>
      </c>
      <c r="I157" s="79">
        <v>149.99</v>
      </c>
      <c r="J157" s="76" t="s">
        <v>20</v>
      </c>
      <c r="K157" s="76" t="s">
        <v>35</v>
      </c>
      <c r="L157" s="76" t="s">
        <v>27</v>
      </c>
      <c r="M157" s="77">
        <v>44475</v>
      </c>
      <c r="N157" s="79">
        <f t="shared" si="2"/>
        <v>299.98</v>
      </c>
    </row>
    <row r="158" spans="1:14" x14ac:dyDescent="0.25">
      <c r="A158" s="72" t="s">
        <v>299</v>
      </c>
      <c r="B158" s="73">
        <v>45627</v>
      </c>
      <c r="C158" s="72" t="s">
        <v>86</v>
      </c>
      <c r="D158" s="72" t="s">
        <v>87</v>
      </c>
      <c r="E158" s="72" t="s">
        <v>80</v>
      </c>
      <c r="F158" s="72" t="s">
        <v>81</v>
      </c>
      <c r="G158" s="72" t="s">
        <v>19</v>
      </c>
      <c r="H158" s="74">
        <v>5</v>
      </c>
      <c r="I158" s="75">
        <v>699.99</v>
      </c>
      <c r="J158" s="72" t="s">
        <v>57</v>
      </c>
      <c r="K158" s="72" t="s">
        <v>50</v>
      </c>
      <c r="L158" s="72" t="s">
        <v>36</v>
      </c>
      <c r="M158" s="73">
        <v>44944</v>
      </c>
      <c r="N158" s="75">
        <f t="shared" si="2"/>
        <v>3499.95</v>
      </c>
    </row>
    <row r="159" spans="1:14" x14ac:dyDescent="0.25">
      <c r="A159" s="76" t="s">
        <v>300</v>
      </c>
      <c r="B159" s="77">
        <v>45629</v>
      </c>
      <c r="C159" s="76" t="s">
        <v>252</v>
      </c>
      <c r="D159" s="76" t="s">
        <v>253</v>
      </c>
      <c r="E159" s="76" t="s">
        <v>17</v>
      </c>
      <c r="F159" s="76" t="s">
        <v>18</v>
      </c>
      <c r="G159" s="76" t="s">
        <v>19</v>
      </c>
      <c r="H159" s="78">
        <v>4</v>
      </c>
      <c r="I159" s="79">
        <v>249.99</v>
      </c>
      <c r="J159" s="76" t="s">
        <v>34</v>
      </c>
      <c r="K159" s="76" t="s">
        <v>63</v>
      </c>
      <c r="L159" s="76" t="s">
        <v>27</v>
      </c>
      <c r="M159" s="77">
        <v>45098</v>
      </c>
      <c r="N159" s="79">
        <f t="shared" si="2"/>
        <v>999.96</v>
      </c>
    </row>
    <row r="160" spans="1:14" x14ac:dyDescent="0.25">
      <c r="A160" s="72" t="s">
        <v>301</v>
      </c>
      <c r="B160" s="73">
        <v>45630</v>
      </c>
      <c r="C160" s="72" t="s">
        <v>48</v>
      </c>
      <c r="D160" s="72" t="s">
        <v>49</v>
      </c>
      <c r="E160" s="72" t="s">
        <v>80</v>
      </c>
      <c r="F160" s="72" t="s">
        <v>81</v>
      </c>
      <c r="G160" s="72" t="s">
        <v>19</v>
      </c>
      <c r="H160" s="74">
        <v>4</v>
      </c>
      <c r="I160" s="75">
        <v>699.99</v>
      </c>
      <c r="J160" s="72" t="s">
        <v>26</v>
      </c>
      <c r="K160" s="72" t="s">
        <v>40</v>
      </c>
      <c r="L160" s="72" t="s">
        <v>27</v>
      </c>
      <c r="M160" s="73">
        <v>44703</v>
      </c>
      <c r="N160" s="75">
        <f t="shared" si="2"/>
        <v>2799.96</v>
      </c>
    </row>
    <row r="161" spans="1:14" x14ac:dyDescent="0.25">
      <c r="A161" s="76" t="s">
        <v>302</v>
      </c>
      <c r="B161" s="77">
        <v>45635</v>
      </c>
      <c r="C161" s="76" t="s">
        <v>108</v>
      </c>
      <c r="D161" s="76" t="s">
        <v>109</v>
      </c>
      <c r="E161" s="76" t="s">
        <v>17</v>
      </c>
      <c r="F161" s="76" t="s">
        <v>18</v>
      </c>
      <c r="G161" s="76" t="s">
        <v>19</v>
      </c>
      <c r="H161" s="78">
        <v>2</v>
      </c>
      <c r="I161" s="79">
        <v>249.99</v>
      </c>
      <c r="J161" s="76" t="s">
        <v>26</v>
      </c>
      <c r="K161" s="76" t="s">
        <v>21</v>
      </c>
      <c r="L161" s="76" t="s">
        <v>27</v>
      </c>
      <c r="M161" s="77">
        <v>44396</v>
      </c>
      <c r="N161" s="79">
        <f t="shared" si="2"/>
        <v>499.98</v>
      </c>
    </row>
    <row r="162" spans="1:14" x14ac:dyDescent="0.25">
      <c r="A162" s="72" t="s">
        <v>303</v>
      </c>
      <c r="B162" s="73">
        <v>45635</v>
      </c>
      <c r="C162" s="72" t="s">
        <v>304</v>
      </c>
      <c r="D162" s="72" t="s">
        <v>305</v>
      </c>
      <c r="E162" s="72" t="s">
        <v>31</v>
      </c>
      <c r="F162" s="72" t="s">
        <v>32</v>
      </c>
      <c r="G162" s="72" t="s">
        <v>33</v>
      </c>
      <c r="H162" s="74">
        <v>3</v>
      </c>
      <c r="I162" s="75">
        <v>59.99</v>
      </c>
      <c r="J162" s="72" t="s">
        <v>20</v>
      </c>
      <c r="K162" s="72" t="s">
        <v>21</v>
      </c>
      <c r="L162" s="72" t="s">
        <v>27</v>
      </c>
      <c r="M162" s="73">
        <v>45052</v>
      </c>
      <c r="N162" s="75">
        <f t="shared" si="2"/>
        <v>179.97</v>
      </c>
    </row>
    <row r="163" spans="1:14" x14ac:dyDescent="0.25">
      <c r="A163" s="76" t="s">
        <v>306</v>
      </c>
      <c r="B163" s="77">
        <v>45635</v>
      </c>
      <c r="C163" s="76" t="s">
        <v>141</v>
      </c>
      <c r="D163" s="76" t="s">
        <v>142</v>
      </c>
      <c r="E163" s="76" t="s">
        <v>114</v>
      </c>
      <c r="F163" s="76" t="s">
        <v>115</v>
      </c>
      <c r="G163" s="76" t="s">
        <v>33</v>
      </c>
      <c r="H163" s="78">
        <v>4</v>
      </c>
      <c r="I163" s="79">
        <v>79.989999999999995</v>
      </c>
      <c r="J163" s="76" t="s">
        <v>57</v>
      </c>
      <c r="K163" s="76" t="s">
        <v>63</v>
      </c>
      <c r="L163" s="76" t="s">
        <v>36</v>
      </c>
      <c r="M163" s="77">
        <v>44921</v>
      </c>
      <c r="N163" s="79">
        <f t="shared" si="2"/>
        <v>319.95999999999998</v>
      </c>
    </row>
    <row r="164" spans="1:14" x14ac:dyDescent="0.25">
      <c r="A164" s="72" t="s">
        <v>307</v>
      </c>
      <c r="B164" s="73">
        <v>45636</v>
      </c>
      <c r="C164" s="72" t="s">
        <v>120</v>
      </c>
      <c r="D164" s="72" t="s">
        <v>121</v>
      </c>
      <c r="E164" s="72" t="s">
        <v>114</v>
      </c>
      <c r="F164" s="72" t="s">
        <v>115</v>
      </c>
      <c r="G164" s="72" t="s">
        <v>33</v>
      </c>
      <c r="H164" s="74">
        <v>3</v>
      </c>
      <c r="I164" s="75">
        <v>79.989999999999995</v>
      </c>
      <c r="J164" s="72" t="s">
        <v>57</v>
      </c>
      <c r="K164" s="72" t="s">
        <v>63</v>
      </c>
      <c r="L164" s="72" t="s">
        <v>36</v>
      </c>
      <c r="M164" s="73">
        <v>44779</v>
      </c>
      <c r="N164" s="75">
        <f t="shared" si="2"/>
        <v>239.96999999999997</v>
      </c>
    </row>
    <row r="165" spans="1:14" x14ac:dyDescent="0.25">
      <c r="A165" s="76" t="s">
        <v>308</v>
      </c>
      <c r="B165" s="77">
        <v>45638</v>
      </c>
      <c r="C165" s="76" t="s">
        <v>72</v>
      </c>
      <c r="D165" s="76" t="s">
        <v>73</v>
      </c>
      <c r="E165" s="76" t="s">
        <v>61</v>
      </c>
      <c r="F165" s="76" t="s">
        <v>62</v>
      </c>
      <c r="G165" s="76" t="s">
        <v>19</v>
      </c>
      <c r="H165" s="78">
        <v>2</v>
      </c>
      <c r="I165" s="79">
        <v>899.99</v>
      </c>
      <c r="J165" s="76" t="s">
        <v>20</v>
      </c>
      <c r="K165" s="76" t="s">
        <v>40</v>
      </c>
      <c r="L165" s="76" t="s">
        <v>22</v>
      </c>
      <c r="M165" s="77">
        <v>44406</v>
      </c>
      <c r="N165" s="79">
        <f t="shared" si="2"/>
        <v>1799.98</v>
      </c>
    </row>
    <row r="166" spans="1:14" x14ac:dyDescent="0.25">
      <c r="A166" s="72" t="s">
        <v>309</v>
      </c>
      <c r="B166" s="73">
        <v>45641</v>
      </c>
      <c r="C166" s="72" t="s">
        <v>182</v>
      </c>
      <c r="D166" s="72" t="s">
        <v>183</v>
      </c>
      <c r="E166" s="72" t="s">
        <v>44</v>
      </c>
      <c r="F166" s="72" t="s">
        <v>45</v>
      </c>
      <c r="G166" s="72" t="s">
        <v>46</v>
      </c>
      <c r="H166" s="74">
        <v>1</v>
      </c>
      <c r="I166" s="75">
        <v>149.99</v>
      </c>
      <c r="J166" s="72" t="s">
        <v>57</v>
      </c>
      <c r="K166" s="72" t="s">
        <v>63</v>
      </c>
      <c r="L166" s="72" t="s">
        <v>36</v>
      </c>
      <c r="M166" s="73">
        <v>45200</v>
      </c>
      <c r="N166" s="75">
        <f t="shared" si="2"/>
        <v>149.99</v>
      </c>
    </row>
    <row r="167" spans="1:14" x14ac:dyDescent="0.25">
      <c r="A167" s="76" t="s">
        <v>310</v>
      </c>
      <c r="B167" s="77">
        <v>45641</v>
      </c>
      <c r="C167" s="76" t="s">
        <v>138</v>
      </c>
      <c r="D167" s="76" t="s">
        <v>139</v>
      </c>
      <c r="E167" s="76" t="s">
        <v>105</v>
      </c>
      <c r="F167" s="76" t="s">
        <v>106</v>
      </c>
      <c r="G167" s="76" t="s">
        <v>46</v>
      </c>
      <c r="H167" s="78">
        <v>2</v>
      </c>
      <c r="I167" s="79">
        <v>299.99</v>
      </c>
      <c r="J167" s="76" t="s">
        <v>20</v>
      </c>
      <c r="K167" s="76" t="s">
        <v>63</v>
      </c>
      <c r="L167" s="76" t="s">
        <v>27</v>
      </c>
      <c r="M167" s="77">
        <v>44724</v>
      </c>
      <c r="N167" s="79">
        <f t="shared" si="2"/>
        <v>599.98</v>
      </c>
    </row>
    <row r="168" spans="1:14" x14ac:dyDescent="0.25">
      <c r="A168" s="72" t="s">
        <v>311</v>
      </c>
      <c r="B168" s="73">
        <v>45644</v>
      </c>
      <c r="C168" s="72" t="s">
        <v>132</v>
      </c>
      <c r="D168" s="72" t="s">
        <v>133</v>
      </c>
      <c r="E168" s="72" t="s">
        <v>31</v>
      </c>
      <c r="F168" s="72" t="s">
        <v>32</v>
      </c>
      <c r="G168" s="72" t="s">
        <v>33</v>
      </c>
      <c r="H168" s="74">
        <v>2</v>
      </c>
      <c r="I168" s="75">
        <v>59.99</v>
      </c>
      <c r="J168" s="72" t="s">
        <v>20</v>
      </c>
      <c r="K168" s="72" t="s">
        <v>50</v>
      </c>
      <c r="L168" s="72" t="s">
        <v>22</v>
      </c>
      <c r="M168" s="73">
        <v>45191</v>
      </c>
      <c r="N168" s="75">
        <f t="shared" si="2"/>
        <v>119.98</v>
      </c>
    </row>
    <row r="169" spans="1:14" x14ac:dyDescent="0.25">
      <c r="A169" s="76" t="s">
        <v>312</v>
      </c>
      <c r="B169" s="77">
        <v>45645</v>
      </c>
      <c r="C169" s="76" t="s">
        <v>182</v>
      </c>
      <c r="D169" s="76" t="s">
        <v>183</v>
      </c>
      <c r="E169" s="76" t="s">
        <v>117</v>
      </c>
      <c r="F169" s="76" t="s">
        <v>118</v>
      </c>
      <c r="G169" s="76" t="s">
        <v>19</v>
      </c>
      <c r="H169" s="78">
        <v>1</v>
      </c>
      <c r="I169" s="79">
        <v>89.99</v>
      </c>
      <c r="J169" s="76" t="s">
        <v>57</v>
      </c>
      <c r="K169" s="76" t="s">
        <v>21</v>
      </c>
      <c r="L169" s="76" t="s">
        <v>36</v>
      </c>
      <c r="M169" s="77">
        <v>44760</v>
      </c>
      <c r="N169" s="79">
        <f t="shared" si="2"/>
        <v>89.99</v>
      </c>
    </row>
    <row r="170" spans="1:14" x14ac:dyDescent="0.25">
      <c r="A170" s="72" t="s">
        <v>313</v>
      </c>
      <c r="B170" s="73">
        <v>45645</v>
      </c>
      <c r="C170" s="72" t="s">
        <v>147</v>
      </c>
      <c r="D170" s="72" t="s">
        <v>148</v>
      </c>
      <c r="E170" s="72" t="s">
        <v>61</v>
      </c>
      <c r="F170" s="72" t="s">
        <v>62</v>
      </c>
      <c r="G170" s="72" t="s">
        <v>19</v>
      </c>
      <c r="H170" s="74">
        <v>5</v>
      </c>
      <c r="I170" s="75">
        <v>899.99</v>
      </c>
      <c r="J170" s="72" t="s">
        <v>57</v>
      </c>
      <c r="K170" s="72" t="s">
        <v>63</v>
      </c>
      <c r="L170" s="72" t="s">
        <v>36</v>
      </c>
      <c r="M170" s="73">
        <v>44625</v>
      </c>
      <c r="N170" s="75">
        <f t="shared" si="2"/>
        <v>4499.95</v>
      </c>
    </row>
    <row r="171" spans="1:14" x14ac:dyDescent="0.25">
      <c r="A171" s="76" t="s">
        <v>314</v>
      </c>
      <c r="B171" s="77">
        <v>45646</v>
      </c>
      <c r="C171" s="76" t="s">
        <v>42</v>
      </c>
      <c r="D171" s="76" t="s">
        <v>43</v>
      </c>
      <c r="E171" s="76" t="s">
        <v>44</v>
      </c>
      <c r="F171" s="76" t="s">
        <v>45</v>
      </c>
      <c r="G171" s="76" t="s">
        <v>46</v>
      </c>
      <c r="H171" s="78">
        <v>2</v>
      </c>
      <c r="I171" s="79">
        <v>149.99</v>
      </c>
      <c r="J171" s="76" t="s">
        <v>20</v>
      </c>
      <c r="K171" s="76" t="s">
        <v>35</v>
      </c>
      <c r="L171" s="76" t="s">
        <v>22</v>
      </c>
      <c r="M171" s="77">
        <v>45239</v>
      </c>
      <c r="N171" s="79">
        <f t="shared" si="2"/>
        <v>299.98</v>
      </c>
    </row>
    <row r="172" spans="1:14" x14ac:dyDescent="0.25">
      <c r="A172" s="72" t="s">
        <v>315</v>
      </c>
      <c r="B172" s="73">
        <v>45648</v>
      </c>
      <c r="C172" s="72" t="s">
        <v>112</v>
      </c>
      <c r="D172" s="72" t="s">
        <v>113</v>
      </c>
      <c r="E172" s="72" t="s">
        <v>52</v>
      </c>
      <c r="F172" s="72" t="s">
        <v>53</v>
      </c>
      <c r="G172" s="72" t="s">
        <v>19</v>
      </c>
      <c r="H172" s="74">
        <v>2</v>
      </c>
      <c r="I172" s="75">
        <v>149.99</v>
      </c>
      <c r="J172" s="72" t="s">
        <v>57</v>
      </c>
      <c r="K172" s="72" t="s">
        <v>50</v>
      </c>
      <c r="L172" s="72" t="s">
        <v>27</v>
      </c>
      <c r="M172" s="73">
        <v>45280</v>
      </c>
      <c r="N172" s="75">
        <f t="shared" si="2"/>
        <v>299.98</v>
      </c>
    </row>
    <row r="173" spans="1:14" x14ac:dyDescent="0.25">
      <c r="A173" s="76" t="s">
        <v>316</v>
      </c>
      <c r="B173" s="77">
        <v>45648</v>
      </c>
      <c r="C173" s="76" t="s">
        <v>182</v>
      </c>
      <c r="D173" s="76" t="s">
        <v>183</v>
      </c>
      <c r="E173" s="76" t="s">
        <v>44</v>
      </c>
      <c r="F173" s="76" t="s">
        <v>45</v>
      </c>
      <c r="G173" s="76" t="s">
        <v>46</v>
      </c>
      <c r="H173" s="78">
        <v>3</v>
      </c>
      <c r="I173" s="79">
        <v>149.99</v>
      </c>
      <c r="J173" s="76" t="s">
        <v>57</v>
      </c>
      <c r="K173" s="76" t="s">
        <v>40</v>
      </c>
      <c r="L173" s="76" t="s">
        <v>36</v>
      </c>
      <c r="M173" s="77">
        <v>44522</v>
      </c>
      <c r="N173" s="79">
        <f t="shared" si="2"/>
        <v>449.97</v>
      </c>
    </row>
    <row r="174" spans="1:14" x14ac:dyDescent="0.25">
      <c r="A174" s="72" t="s">
        <v>317</v>
      </c>
      <c r="B174" s="73">
        <v>45649</v>
      </c>
      <c r="C174" s="72" t="s">
        <v>29</v>
      </c>
      <c r="D174" s="72" t="s">
        <v>30</v>
      </c>
      <c r="E174" s="72" t="s">
        <v>105</v>
      </c>
      <c r="F174" s="72" t="s">
        <v>106</v>
      </c>
      <c r="G174" s="72" t="s">
        <v>46</v>
      </c>
      <c r="H174" s="74">
        <v>2</v>
      </c>
      <c r="I174" s="75">
        <v>299.99</v>
      </c>
      <c r="J174" s="72" t="s">
        <v>34</v>
      </c>
      <c r="K174" s="72" t="s">
        <v>35</v>
      </c>
      <c r="L174" s="72" t="s">
        <v>22</v>
      </c>
      <c r="M174" s="73">
        <v>44721</v>
      </c>
      <c r="N174" s="75">
        <f t="shared" si="2"/>
        <v>599.98</v>
      </c>
    </row>
    <row r="175" spans="1:14" x14ac:dyDescent="0.25">
      <c r="A175" s="76" t="s">
        <v>318</v>
      </c>
      <c r="B175" s="77">
        <v>45654</v>
      </c>
      <c r="C175" s="76" t="s">
        <v>42</v>
      </c>
      <c r="D175" s="76" t="s">
        <v>43</v>
      </c>
      <c r="E175" s="76" t="s">
        <v>105</v>
      </c>
      <c r="F175" s="76" t="s">
        <v>106</v>
      </c>
      <c r="G175" s="76" t="s">
        <v>46</v>
      </c>
      <c r="H175" s="78">
        <v>2</v>
      </c>
      <c r="I175" s="79">
        <v>299.99</v>
      </c>
      <c r="J175" s="76" t="s">
        <v>20</v>
      </c>
      <c r="K175" s="76" t="s">
        <v>50</v>
      </c>
      <c r="L175" s="76" t="s">
        <v>22</v>
      </c>
      <c r="M175" s="77">
        <v>44771</v>
      </c>
      <c r="N175" s="79">
        <f t="shared" si="2"/>
        <v>599.98</v>
      </c>
    </row>
    <row r="176" spans="1:14" x14ac:dyDescent="0.25">
      <c r="A176" s="72" t="s">
        <v>319</v>
      </c>
      <c r="B176" s="73">
        <v>45654</v>
      </c>
      <c r="C176" s="72" t="s">
        <v>120</v>
      </c>
      <c r="D176" s="72" t="s">
        <v>121</v>
      </c>
      <c r="E176" s="72" t="s">
        <v>126</v>
      </c>
      <c r="F176" s="72" t="s">
        <v>127</v>
      </c>
      <c r="G176" s="72" t="s">
        <v>46</v>
      </c>
      <c r="H176" s="74">
        <v>4</v>
      </c>
      <c r="I176" s="75">
        <v>199.99</v>
      </c>
      <c r="J176" s="72" t="s">
        <v>26</v>
      </c>
      <c r="K176" s="72" t="s">
        <v>21</v>
      </c>
      <c r="L176" s="72" t="s">
        <v>22</v>
      </c>
      <c r="M176" s="73">
        <v>44523</v>
      </c>
      <c r="N176" s="75">
        <f t="shared" si="2"/>
        <v>799.96</v>
      </c>
    </row>
    <row r="177" spans="1:14" x14ac:dyDescent="0.25">
      <c r="A177" s="76" t="s">
        <v>320</v>
      </c>
      <c r="B177" s="77">
        <v>45655</v>
      </c>
      <c r="C177" s="76" t="s">
        <v>59</v>
      </c>
      <c r="D177" s="76" t="s">
        <v>60</v>
      </c>
      <c r="E177" s="76" t="s">
        <v>117</v>
      </c>
      <c r="F177" s="76" t="s">
        <v>118</v>
      </c>
      <c r="G177" s="76" t="s">
        <v>19</v>
      </c>
      <c r="H177" s="78">
        <v>1</v>
      </c>
      <c r="I177" s="79">
        <v>89.99</v>
      </c>
      <c r="J177" s="76" t="s">
        <v>26</v>
      </c>
      <c r="K177" s="76" t="s">
        <v>35</v>
      </c>
      <c r="L177" s="76" t="s">
        <v>27</v>
      </c>
      <c r="M177" s="77">
        <v>44591</v>
      </c>
      <c r="N177" s="79">
        <f t="shared" si="2"/>
        <v>89.99</v>
      </c>
    </row>
    <row r="178" spans="1:14" x14ac:dyDescent="0.25">
      <c r="A178" s="72" t="s">
        <v>321</v>
      </c>
      <c r="B178" s="73">
        <v>45655</v>
      </c>
      <c r="C178" s="72" t="s">
        <v>108</v>
      </c>
      <c r="D178" s="72" t="s">
        <v>109</v>
      </c>
      <c r="E178" s="72" t="s">
        <v>44</v>
      </c>
      <c r="F178" s="72" t="s">
        <v>45</v>
      </c>
      <c r="G178" s="72" t="s">
        <v>46</v>
      </c>
      <c r="H178" s="74">
        <v>5</v>
      </c>
      <c r="I178" s="75">
        <v>149.99</v>
      </c>
      <c r="J178" s="72" t="s">
        <v>20</v>
      </c>
      <c r="K178" s="72" t="s">
        <v>21</v>
      </c>
      <c r="L178" s="72" t="s">
        <v>27</v>
      </c>
      <c r="M178" s="73">
        <v>45347</v>
      </c>
      <c r="N178" s="75">
        <f t="shared" si="2"/>
        <v>749.95</v>
      </c>
    </row>
    <row r="179" spans="1:14" x14ac:dyDescent="0.25">
      <c r="A179" s="76" t="s">
        <v>322</v>
      </c>
      <c r="B179" s="77">
        <v>45657</v>
      </c>
      <c r="C179" s="76" t="s">
        <v>86</v>
      </c>
      <c r="D179" s="76" t="s">
        <v>87</v>
      </c>
      <c r="E179" s="76" t="s">
        <v>61</v>
      </c>
      <c r="F179" s="76" t="s">
        <v>62</v>
      </c>
      <c r="G179" s="76" t="s">
        <v>19</v>
      </c>
      <c r="H179" s="78">
        <v>1</v>
      </c>
      <c r="I179" s="79">
        <v>899.99</v>
      </c>
      <c r="J179" s="76" t="s">
        <v>34</v>
      </c>
      <c r="K179" s="76" t="s">
        <v>40</v>
      </c>
      <c r="L179" s="76" t="s">
        <v>27</v>
      </c>
      <c r="M179" s="77">
        <v>45050</v>
      </c>
      <c r="N179" s="79">
        <f t="shared" si="2"/>
        <v>899.99</v>
      </c>
    </row>
    <row r="180" spans="1:14" x14ac:dyDescent="0.25">
      <c r="A180" s="72" t="s">
        <v>323</v>
      </c>
      <c r="B180" s="73">
        <v>45660</v>
      </c>
      <c r="C180" s="72" t="s">
        <v>147</v>
      </c>
      <c r="D180" s="72" t="s">
        <v>148</v>
      </c>
      <c r="E180" s="72" t="s">
        <v>117</v>
      </c>
      <c r="F180" s="72" t="s">
        <v>118</v>
      </c>
      <c r="G180" s="72" t="s">
        <v>19</v>
      </c>
      <c r="H180" s="74">
        <v>2</v>
      </c>
      <c r="I180" s="75">
        <v>89.99</v>
      </c>
      <c r="J180" s="72" t="s">
        <v>26</v>
      </c>
      <c r="K180" s="72" t="s">
        <v>35</v>
      </c>
      <c r="L180" s="72" t="s">
        <v>27</v>
      </c>
      <c r="M180" s="73">
        <v>44564</v>
      </c>
      <c r="N180" s="75">
        <f t="shared" si="2"/>
        <v>179.98</v>
      </c>
    </row>
    <row r="181" spans="1:14" x14ac:dyDescent="0.25">
      <c r="A181" s="76" t="s">
        <v>324</v>
      </c>
      <c r="B181" s="77">
        <v>45661</v>
      </c>
      <c r="C181" s="76" t="s">
        <v>325</v>
      </c>
      <c r="D181" s="76" t="s">
        <v>326</v>
      </c>
      <c r="E181" s="76" t="s">
        <v>61</v>
      </c>
      <c r="F181" s="76" t="s">
        <v>62</v>
      </c>
      <c r="G181" s="76" t="s">
        <v>19</v>
      </c>
      <c r="H181" s="78">
        <v>1</v>
      </c>
      <c r="I181" s="79">
        <v>899.99</v>
      </c>
      <c r="J181" s="76" t="s">
        <v>34</v>
      </c>
      <c r="K181" s="76" t="s">
        <v>40</v>
      </c>
      <c r="L181" s="76" t="s">
        <v>36</v>
      </c>
      <c r="M181" s="77">
        <v>44752</v>
      </c>
      <c r="N181" s="79">
        <f t="shared" si="2"/>
        <v>899.99</v>
      </c>
    </row>
    <row r="182" spans="1:14" x14ac:dyDescent="0.25">
      <c r="A182" s="72" t="s">
        <v>327</v>
      </c>
      <c r="B182" s="73">
        <v>45663</v>
      </c>
      <c r="C182" s="72" t="s">
        <v>129</v>
      </c>
      <c r="D182" s="72" t="s">
        <v>130</v>
      </c>
      <c r="E182" s="72" t="s">
        <v>52</v>
      </c>
      <c r="F182" s="72" t="s">
        <v>53</v>
      </c>
      <c r="G182" s="72" t="s">
        <v>19</v>
      </c>
      <c r="H182" s="74">
        <v>5</v>
      </c>
      <c r="I182" s="75">
        <v>149.99</v>
      </c>
      <c r="J182" s="72" t="s">
        <v>34</v>
      </c>
      <c r="K182" s="72" t="s">
        <v>63</v>
      </c>
      <c r="L182" s="72" t="s">
        <v>27</v>
      </c>
      <c r="M182" s="73">
        <v>44824</v>
      </c>
      <c r="N182" s="75">
        <f t="shared" si="2"/>
        <v>749.95</v>
      </c>
    </row>
    <row r="183" spans="1:14" x14ac:dyDescent="0.25">
      <c r="A183" s="76" t="s">
        <v>328</v>
      </c>
      <c r="B183" s="77">
        <v>45663</v>
      </c>
      <c r="C183" s="76" t="s">
        <v>42</v>
      </c>
      <c r="D183" s="76" t="s">
        <v>43</v>
      </c>
      <c r="E183" s="76" t="s">
        <v>105</v>
      </c>
      <c r="F183" s="76" t="s">
        <v>106</v>
      </c>
      <c r="G183" s="76" t="s">
        <v>46</v>
      </c>
      <c r="H183" s="78">
        <v>3</v>
      </c>
      <c r="I183" s="79">
        <v>299.99</v>
      </c>
      <c r="J183" s="76" t="s">
        <v>20</v>
      </c>
      <c r="K183" s="76" t="s">
        <v>35</v>
      </c>
      <c r="L183" s="76" t="s">
        <v>36</v>
      </c>
      <c r="M183" s="77">
        <v>44422</v>
      </c>
      <c r="N183" s="79">
        <f t="shared" si="2"/>
        <v>899.97</v>
      </c>
    </row>
    <row r="184" spans="1:14" x14ac:dyDescent="0.25">
      <c r="A184" s="72" t="s">
        <v>329</v>
      </c>
      <c r="B184" s="73">
        <v>45666</v>
      </c>
      <c r="C184" s="72" t="s">
        <v>65</v>
      </c>
      <c r="D184" s="72" t="s">
        <v>66</v>
      </c>
      <c r="E184" s="72" t="s">
        <v>80</v>
      </c>
      <c r="F184" s="72" t="s">
        <v>81</v>
      </c>
      <c r="G184" s="72" t="s">
        <v>19</v>
      </c>
      <c r="H184" s="74">
        <v>3</v>
      </c>
      <c r="I184" s="75">
        <v>699.99</v>
      </c>
      <c r="J184" s="72" t="s">
        <v>26</v>
      </c>
      <c r="K184" s="72" t="s">
        <v>21</v>
      </c>
      <c r="L184" s="72" t="s">
        <v>27</v>
      </c>
      <c r="M184" s="73">
        <v>45105</v>
      </c>
      <c r="N184" s="75">
        <f t="shared" si="2"/>
        <v>2099.9700000000003</v>
      </c>
    </row>
    <row r="185" spans="1:14" x14ac:dyDescent="0.25">
      <c r="A185" s="76" t="s">
        <v>330</v>
      </c>
      <c r="B185" s="77">
        <v>45667</v>
      </c>
      <c r="C185" s="76" t="s">
        <v>108</v>
      </c>
      <c r="D185" s="76" t="s">
        <v>109</v>
      </c>
      <c r="E185" s="76" t="s">
        <v>126</v>
      </c>
      <c r="F185" s="76" t="s">
        <v>127</v>
      </c>
      <c r="G185" s="76" t="s">
        <v>46</v>
      </c>
      <c r="H185" s="78">
        <v>5</v>
      </c>
      <c r="I185" s="79">
        <v>199.99</v>
      </c>
      <c r="J185" s="76" t="s">
        <v>34</v>
      </c>
      <c r="K185" s="76" t="s">
        <v>21</v>
      </c>
      <c r="L185" s="76" t="s">
        <v>36</v>
      </c>
      <c r="M185" s="77">
        <v>44633</v>
      </c>
      <c r="N185" s="79">
        <f t="shared" si="2"/>
        <v>999.95</v>
      </c>
    </row>
    <row r="186" spans="1:14" x14ac:dyDescent="0.25">
      <c r="A186" s="72" t="s">
        <v>331</v>
      </c>
      <c r="B186" s="73">
        <v>45667</v>
      </c>
      <c r="C186" s="72" t="s">
        <v>93</v>
      </c>
      <c r="D186" s="72" t="s">
        <v>94</v>
      </c>
      <c r="E186" s="72" t="s">
        <v>17</v>
      </c>
      <c r="F186" s="72" t="s">
        <v>18</v>
      </c>
      <c r="G186" s="72" t="s">
        <v>19</v>
      </c>
      <c r="H186" s="74">
        <v>5</v>
      </c>
      <c r="I186" s="75">
        <v>249.99</v>
      </c>
      <c r="J186" s="72" t="s">
        <v>26</v>
      </c>
      <c r="K186" s="72" t="s">
        <v>35</v>
      </c>
      <c r="L186" s="72" t="s">
        <v>22</v>
      </c>
      <c r="M186" s="73">
        <v>45330</v>
      </c>
      <c r="N186" s="75">
        <f t="shared" si="2"/>
        <v>1249.95</v>
      </c>
    </row>
    <row r="187" spans="1:14" x14ac:dyDescent="0.25">
      <c r="A187" s="76" t="s">
        <v>332</v>
      </c>
      <c r="B187" s="77">
        <v>45668</v>
      </c>
      <c r="C187" s="76" t="s">
        <v>138</v>
      </c>
      <c r="D187" s="76" t="s">
        <v>139</v>
      </c>
      <c r="E187" s="76" t="s">
        <v>52</v>
      </c>
      <c r="F187" s="76" t="s">
        <v>53</v>
      </c>
      <c r="G187" s="76" t="s">
        <v>19</v>
      </c>
      <c r="H187" s="78">
        <v>4</v>
      </c>
      <c r="I187" s="79">
        <v>149.99</v>
      </c>
      <c r="J187" s="76" t="s">
        <v>57</v>
      </c>
      <c r="K187" s="76" t="s">
        <v>63</v>
      </c>
      <c r="L187" s="76" t="s">
        <v>36</v>
      </c>
      <c r="M187" s="77">
        <v>44536</v>
      </c>
      <c r="N187" s="79">
        <f t="shared" si="2"/>
        <v>599.96</v>
      </c>
    </row>
    <row r="188" spans="1:14" x14ac:dyDescent="0.25">
      <c r="A188" s="72" t="s">
        <v>333</v>
      </c>
      <c r="B188" s="73">
        <v>45668</v>
      </c>
      <c r="C188" s="72" t="s">
        <v>78</v>
      </c>
      <c r="D188" s="72" t="s">
        <v>79</v>
      </c>
      <c r="E188" s="72" t="s">
        <v>80</v>
      </c>
      <c r="F188" s="72" t="s">
        <v>81</v>
      </c>
      <c r="G188" s="72" t="s">
        <v>19</v>
      </c>
      <c r="H188" s="74">
        <v>3</v>
      </c>
      <c r="I188" s="75">
        <v>699.99</v>
      </c>
      <c r="J188" s="72" t="s">
        <v>20</v>
      </c>
      <c r="K188" s="72" t="s">
        <v>40</v>
      </c>
      <c r="L188" s="72" t="s">
        <v>27</v>
      </c>
      <c r="M188" s="73">
        <v>44602</v>
      </c>
      <c r="N188" s="75">
        <f t="shared" si="2"/>
        <v>2099.9700000000003</v>
      </c>
    </row>
    <row r="189" spans="1:14" x14ac:dyDescent="0.25">
      <c r="A189" s="76" t="s">
        <v>334</v>
      </c>
      <c r="B189" s="77">
        <v>45670</v>
      </c>
      <c r="C189" s="76" t="s">
        <v>293</v>
      </c>
      <c r="D189" s="76" t="s">
        <v>294</v>
      </c>
      <c r="E189" s="76" t="s">
        <v>114</v>
      </c>
      <c r="F189" s="76" t="s">
        <v>115</v>
      </c>
      <c r="G189" s="76" t="s">
        <v>33</v>
      </c>
      <c r="H189" s="78">
        <v>1</v>
      </c>
      <c r="I189" s="79">
        <v>79.989999999999995</v>
      </c>
      <c r="J189" s="76" t="s">
        <v>26</v>
      </c>
      <c r="K189" s="76" t="s">
        <v>35</v>
      </c>
      <c r="L189" s="76" t="s">
        <v>22</v>
      </c>
      <c r="M189" s="77">
        <v>45322</v>
      </c>
      <c r="N189" s="79">
        <f t="shared" si="2"/>
        <v>79.989999999999995</v>
      </c>
    </row>
    <row r="190" spans="1:14" x14ac:dyDescent="0.25">
      <c r="A190" s="72" t="s">
        <v>335</v>
      </c>
      <c r="B190" s="73">
        <v>45670</v>
      </c>
      <c r="C190" s="72" t="s">
        <v>86</v>
      </c>
      <c r="D190" s="72" t="s">
        <v>87</v>
      </c>
      <c r="E190" s="72" t="s">
        <v>105</v>
      </c>
      <c r="F190" s="72" t="s">
        <v>106</v>
      </c>
      <c r="G190" s="72" t="s">
        <v>46</v>
      </c>
      <c r="H190" s="74">
        <v>1</v>
      </c>
      <c r="I190" s="75">
        <v>299.99</v>
      </c>
      <c r="J190" s="72" t="s">
        <v>26</v>
      </c>
      <c r="K190" s="72" t="s">
        <v>40</v>
      </c>
      <c r="L190" s="72" t="s">
        <v>22</v>
      </c>
      <c r="M190" s="73">
        <v>44436</v>
      </c>
      <c r="N190" s="75">
        <f t="shared" si="2"/>
        <v>299.99</v>
      </c>
    </row>
    <row r="191" spans="1:14" x14ac:dyDescent="0.25">
      <c r="A191" s="76" t="s">
        <v>336</v>
      </c>
      <c r="B191" s="77">
        <v>45671</v>
      </c>
      <c r="C191" s="76" t="s">
        <v>158</v>
      </c>
      <c r="D191" s="76" t="s">
        <v>159</v>
      </c>
      <c r="E191" s="76" t="s">
        <v>17</v>
      </c>
      <c r="F191" s="76" t="s">
        <v>18</v>
      </c>
      <c r="G191" s="76" t="s">
        <v>19</v>
      </c>
      <c r="H191" s="78">
        <v>4</v>
      </c>
      <c r="I191" s="79">
        <v>249.99</v>
      </c>
      <c r="J191" s="76" t="s">
        <v>26</v>
      </c>
      <c r="K191" s="76" t="s">
        <v>40</v>
      </c>
      <c r="L191" s="76" t="s">
        <v>27</v>
      </c>
      <c r="M191" s="77">
        <v>44460</v>
      </c>
      <c r="N191" s="79">
        <f t="shared" si="2"/>
        <v>999.96</v>
      </c>
    </row>
    <row r="192" spans="1:14" x14ac:dyDescent="0.25">
      <c r="A192" s="72" t="s">
        <v>337</v>
      </c>
      <c r="B192" s="73">
        <v>45671</v>
      </c>
      <c r="C192" s="72" t="s">
        <v>120</v>
      </c>
      <c r="D192" s="72" t="s">
        <v>121</v>
      </c>
      <c r="E192" s="72" t="s">
        <v>52</v>
      </c>
      <c r="F192" s="72" t="s">
        <v>53</v>
      </c>
      <c r="G192" s="72" t="s">
        <v>19</v>
      </c>
      <c r="H192" s="74">
        <v>2</v>
      </c>
      <c r="I192" s="75">
        <v>149.99</v>
      </c>
      <c r="J192" s="72" t="s">
        <v>20</v>
      </c>
      <c r="K192" s="72" t="s">
        <v>40</v>
      </c>
      <c r="L192" s="72" t="s">
        <v>36</v>
      </c>
      <c r="M192" s="73">
        <v>44913</v>
      </c>
      <c r="N192" s="75">
        <f t="shared" si="2"/>
        <v>299.98</v>
      </c>
    </row>
    <row r="193" spans="1:14" x14ac:dyDescent="0.25">
      <c r="A193" s="76" t="s">
        <v>338</v>
      </c>
      <c r="B193" s="77">
        <v>45671</v>
      </c>
      <c r="C193" s="76" t="s">
        <v>234</v>
      </c>
      <c r="D193" s="76" t="s">
        <v>235</v>
      </c>
      <c r="E193" s="76" t="s">
        <v>105</v>
      </c>
      <c r="F193" s="76" t="s">
        <v>106</v>
      </c>
      <c r="G193" s="76" t="s">
        <v>46</v>
      </c>
      <c r="H193" s="78">
        <v>3</v>
      </c>
      <c r="I193" s="79">
        <v>299.99</v>
      </c>
      <c r="J193" s="76" t="s">
        <v>26</v>
      </c>
      <c r="K193" s="76" t="s">
        <v>35</v>
      </c>
      <c r="L193" s="76" t="s">
        <v>22</v>
      </c>
      <c r="M193" s="77">
        <v>45204</v>
      </c>
      <c r="N193" s="79">
        <f t="shared" si="2"/>
        <v>899.97</v>
      </c>
    </row>
    <row r="194" spans="1:14" x14ac:dyDescent="0.25">
      <c r="A194" s="72" t="s">
        <v>339</v>
      </c>
      <c r="B194" s="73">
        <v>45673</v>
      </c>
      <c r="C194" s="72" t="s">
        <v>226</v>
      </c>
      <c r="D194" s="72" t="s">
        <v>227</v>
      </c>
      <c r="E194" s="72" t="s">
        <v>126</v>
      </c>
      <c r="F194" s="72" t="s">
        <v>127</v>
      </c>
      <c r="G194" s="72" t="s">
        <v>46</v>
      </c>
      <c r="H194" s="74">
        <v>4</v>
      </c>
      <c r="I194" s="75">
        <v>199.99</v>
      </c>
      <c r="J194" s="72" t="s">
        <v>57</v>
      </c>
      <c r="K194" s="72" t="s">
        <v>35</v>
      </c>
      <c r="L194" s="72" t="s">
        <v>36</v>
      </c>
      <c r="M194" s="73">
        <v>44544</v>
      </c>
      <c r="N194" s="75">
        <f t="shared" si="2"/>
        <v>799.96</v>
      </c>
    </row>
    <row r="195" spans="1:14" x14ac:dyDescent="0.25">
      <c r="A195" s="76" t="s">
        <v>340</v>
      </c>
      <c r="B195" s="77">
        <v>45673</v>
      </c>
      <c r="C195" s="76" t="s">
        <v>211</v>
      </c>
      <c r="D195" s="76" t="s">
        <v>212</v>
      </c>
      <c r="E195" s="76" t="s">
        <v>105</v>
      </c>
      <c r="F195" s="76" t="s">
        <v>106</v>
      </c>
      <c r="G195" s="76" t="s">
        <v>46</v>
      </c>
      <c r="H195" s="78">
        <v>5</v>
      </c>
      <c r="I195" s="79">
        <v>299.99</v>
      </c>
      <c r="J195" s="76" t="s">
        <v>57</v>
      </c>
      <c r="K195" s="76" t="s">
        <v>21</v>
      </c>
      <c r="L195" s="76" t="s">
        <v>22</v>
      </c>
      <c r="M195" s="77">
        <v>44431</v>
      </c>
      <c r="N195" s="79">
        <f t="shared" ref="N195:N251" si="3">H195*I195</f>
        <v>1499.95</v>
      </c>
    </row>
    <row r="196" spans="1:14" x14ac:dyDescent="0.25">
      <c r="A196" s="72" t="s">
        <v>341</v>
      </c>
      <c r="B196" s="73">
        <v>45673</v>
      </c>
      <c r="C196" s="72" t="s">
        <v>59</v>
      </c>
      <c r="D196" s="72" t="s">
        <v>60</v>
      </c>
      <c r="E196" s="72" t="s">
        <v>44</v>
      </c>
      <c r="F196" s="72" t="s">
        <v>45</v>
      </c>
      <c r="G196" s="72" t="s">
        <v>46</v>
      </c>
      <c r="H196" s="74">
        <v>3</v>
      </c>
      <c r="I196" s="75">
        <v>149.99</v>
      </c>
      <c r="J196" s="72" t="s">
        <v>26</v>
      </c>
      <c r="K196" s="72" t="s">
        <v>63</v>
      </c>
      <c r="L196" s="72" t="s">
        <v>36</v>
      </c>
      <c r="M196" s="73">
        <v>44395</v>
      </c>
      <c r="N196" s="75">
        <f t="shared" si="3"/>
        <v>449.97</v>
      </c>
    </row>
    <row r="197" spans="1:14" x14ac:dyDescent="0.25">
      <c r="A197" s="76" t="s">
        <v>342</v>
      </c>
      <c r="B197" s="77">
        <v>45676</v>
      </c>
      <c r="C197" s="76" t="s">
        <v>129</v>
      </c>
      <c r="D197" s="76" t="s">
        <v>130</v>
      </c>
      <c r="E197" s="76" t="s">
        <v>31</v>
      </c>
      <c r="F197" s="76" t="s">
        <v>32</v>
      </c>
      <c r="G197" s="76" t="s">
        <v>33</v>
      </c>
      <c r="H197" s="78">
        <v>5</v>
      </c>
      <c r="I197" s="79">
        <v>59.99</v>
      </c>
      <c r="J197" s="76" t="s">
        <v>57</v>
      </c>
      <c r="K197" s="76" t="s">
        <v>63</v>
      </c>
      <c r="L197" s="76" t="s">
        <v>22</v>
      </c>
      <c r="M197" s="77">
        <v>44642</v>
      </c>
      <c r="N197" s="79">
        <f t="shared" si="3"/>
        <v>299.95</v>
      </c>
    </row>
    <row r="198" spans="1:14" x14ac:dyDescent="0.25">
      <c r="A198" s="72" t="s">
        <v>343</v>
      </c>
      <c r="B198" s="73">
        <v>45682</v>
      </c>
      <c r="C198" s="72" t="s">
        <v>68</v>
      </c>
      <c r="D198" s="72" t="s">
        <v>69</v>
      </c>
      <c r="E198" s="72" t="s">
        <v>31</v>
      </c>
      <c r="F198" s="72" t="s">
        <v>32</v>
      </c>
      <c r="G198" s="72" t="s">
        <v>33</v>
      </c>
      <c r="H198" s="74">
        <v>4</v>
      </c>
      <c r="I198" s="75">
        <v>59.99</v>
      </c>
      <c r="J198" s="72" t="s">
        <v>57</v>
      </c>
      <c r="K198" s="72" t="s">
        <v>63</v>
      </c>
      <c r="L198" s="72" t="s">
        <v>36</v>
      </c>
      <c r="M198" s="73">
        <v>44564</v>
      </c>
      <c r="N198" s="75">
        <f t="shared" si="3"/>
        <v>239.96</v>
      </c>
    </row>
    <row r="199" spans="1:14" x14ac:dyDescent="0.25">
      <c r="A199" s="76" t="s">
        <v>344</v>
      </c>
      <c r="B199" s="77">
        <v>45683</v>
      </c>
      <c r="C199" s="76" t="s">
        <v>48</v>
      </c>
      <c r="D199" s="76" t="s">
        <v>49</v>
      </c>
      <c r="E199" s="76" t="s">
        <v>17</v>
      </c>
      <c r="F199" s="76" t="s">
        <v>18</v>
      </c>
      <c r="G199" s="76" t="s">
        <v>19</v>
      </c>
      <c r="H199" s="78">
        <v>4</v>
      </c>
      <c r="I199" s="79">
        <v>249.99</v>
      </c>
      <c r="J199" s="76" t="s">
        <v>57</v>
      </c>
      <c r="K199" s="76" t="s">
        <v>21</v>
      </c>
      <c r="L199" s="76" t="s">
        <v>27</v>
      </c>
      <c r="M199" s="77">
        <v>45217</v>
      </c>
      <c r="N199" s="79">
        <f t="shared" si="3"/>
        <v>999.96</v>
      </c>
    </row>
    <row r="200" spans="1:14" x14ac:dyDescent="0.25">
      <c r="A200" s="72" t="s">
        <v>345</v>
      </c>
      <c r="B200" s="73">
        <v>45686</v>
      </c>
      <c r="C200" s="72" t="s">
        <v>252</v>
      </c>
      <c r="D200" s="72" t="s">
        <v>253</v>
      </c>
      <c r="E200" s="72" t="s">
        <v>61</v>
      </c>
      <c r="F200" s="72" t="s">
        <v>62</v>
      </c>
      <c r="G200" s="72" t="s">
        <v>19</v>
      </c>
      <c r="H200" s="74">
        <v>4</v>
      </c>
      <c r="I200" s="75">
        <v>899.99</v>
      </c>
      <c r="J200" s="72" t="s">
        <v>34</v>
      </c>
      <c r="K200" s="72" t="s">
        <v>21</v>
      </c>
      <c r="L200" s="72" t="s">
        <v>22</v>
      </c>
      <c r="M200" s="73">
        <v>44734</v>
      </c>
      <c r="N200" s="75">
        <f t="shared" si="3"/>
        <v>3599.96</v>
      </c>
    </row>
    <row r="201" spans="1:14" x14ac:dyDescent="0.25">
      <c r="A201" s="76" t="s">
        <v>346</v>
      </c>
      <c r="B201" s="77">
        <v>45686</v>
      </c>
      <c r="C201" s="76" t="s">
        <v>86</v>
      </c>
      <c r="D201" s="76" t="s">
        <v>87</v>
      </c>
      <c r="E201" s="76" t="s">
        <v>105</v>
      </c>
      <c r="F201" s="76" t="s">
        <v>106</v>
      </c>
      <c r="G201" s="76" t="s">
        <v>46</v>
      </c>
      <c r="H201" s="78">
        <v>3</v>
      </c>
      <c r="I201" s="79">
        <v>299.99</v>
      </c>
      <c r="J201" s="76" t="s">
        <v>57</v>
      </c>
      <c r="K201" s="76" t="s">
        <v>50</v>
      </c>
      <c r="L201" s="76" t="s">
        <v>36</v>
      </c>
      <c r="M201" s="77">
        <v>44952</v>
      </c>
      <c r="N201" s="79">
        <f t="shared" si="3"/>
        <v>899.97</v>
      </c>
    </row>
    <row r="202" spans="1:14" x14ac:dyDescent="0.25">
      <c r="A202" s="72" t="s">
        <v>347</v>
      </c>
      <c r="B202" s="73">
        <v>45686</v>
      </c>
      <c r="C202" s="72" t="s">
        <v>293</v>
      </c>
      <c r="D202" s="72" t="s">
        <v>294</v>
      </c>
      <c r="E202" s="72" t="s">
        <v>80</v>
      </c>
      <c r="F202" s="72" t="s">
        <v>81</v>
      </c>
      <c r="G202" s="72" t="s">
        <v>19</v>
      </c>
      <c r="H202" s="74">
        <v>2</v>
      </c>
      <c r="I202" s="75">
        <v>699.99</v>
      </c>
      <c r="J202" s="72" t="s">
        <v>57</v>
      </c>
      <c r="K202" s="72" t="s">
        <v>21</v>
      </c>
      <c r="L202" s="72" t="s">
        <v>27</v>
      </c>
      <c r="M202" s="73">
        <v>44681</v>
      </c>
      <c r="N202" s="75">
        <f t="shared" si="3"/>
        <v>1399.98</v>
      </c>
    </row>
    <row r="203" spans="1:14" x14ac:dyDescent="0.25">
      <c r="A203" s="76" t="s">
        <v>348</v>
      </c>
      <c r="B203" s="77">
        <v>45688</v>
      </c>
      <c r="C203" s="76" t="s">
        <v>65</v>
      </c>
      <c r="D203" s="76" t="s">
        <v>66</v>
      </c>
      <c r="E203" s="76" t="s">
        <v>80</v>
      </c>
      <c r="F203" s="76" t="s">
        <v>81</v>
      </c>
      <c r="G203" s="76" t="s">
        <v>19</v>
      </c>
      <c r="H203" s="78">
        <v>4</v>
      </c>
      <c r="I203" s="79">
        <v>699.99</v>
      </c>
      <c r="J203" s="76" t="s">
        <v>57</v>
      </c>
      <c r="K203" s="76" t="s">
        <v>50</v>
      </c>
      <c r="L203" s="76" t="s">
        <v>27</v>
      </c>
      <c r="M203" s="77">
        <v>44692</v>
      </c>
      <c r="N203" s="79">
        <f t="shared" si="3"/>
        <v>2799.96</v>
      </c>
    </row>
    <row r="204" spans="1:14" x14ac:dyDescent="0.25">
      <c r="A204" s="72" t="s">
        <v>349</v>
      </c>
      <c r="B204" s="73">
        <v>45688</v>
      </c>
      <c r="C204" s="72" t="s">
        <v>123</v>
      </c>
      <c r="D204" s="72" t="s">
        <v>124</v>
      </c>
      <c r="E204" s="72" t="s">
        <v>117</v>
      </c>
      <c r="F204" s="72" t="s">
        <v>118</v>
      </c>
      <c r="G204" s="72" t="s">
        <v>19</v>
      </c>
      <c r="H204" s="74">
        <v>2</v>
      </c>
      <c r="I204" s="75">
        <v>89.99</v>
      </c>
      <c r="J204" s="72" t="s">
        <v>57</v>
      </c>
      <c r="K204" s="72" t="s">
        <v>35</v>
      </c>
      <c r="L204" s="72" t="s">
        <v>22</v>
      </c>
      <c r="M204" s="73">
        <v>44777</v>
      </c>
      <c r="N204" s="75">
        <f t="shared" si="3"/>
        <v>179.98</v>
      </c>
    </row>
    <row r="205" spans="1:14" x14ac:dyDescent="0.25">
      <c r="A205" s="76" t="s">
        <v>350</v>
      </c>
      <c r="B205" s="77">
        <v>45688</v>
      </c>
      <c r="C205" s="76" t="s">
        <v>42</v>
      </c>
      <c r="D205" s="76" t="s">
        <v>43</v>
      </c>
      <c r="E205" s="76" t="s">
        <v>117</v>
      </c>
      <c r="F205" s="76" t="s">
        <v>118</v>
      </c>
      <c r="G205" s="76" t="s">
        <v>19</v>
      </c>
      <c r="H205" s="78">
        <v>3</v>
      </c>
      <c r="I205" s="79">
        <v>89.99</v>
      </c>
      <c r="J205" s="76" t="s">
        <v>57</v>
      </c>
      <c r="K205" s="76" t="s">
        <v>35</v>
      </c>
      <c r="L205" s="76" t="s">
        <v>27</v>
      </c>
      <c r="M205" s="77">
        <v>45307</v>
      </c>
      <c r="N205" s="79">
        <f t="shared" si="3"/>
        <v>269.96999999999997</v>
      </c>
    </row>
    <row r="206" spans="1:14" x14ac:dyDescent="0.25">
      <c r="A206" s="72" t="s">
        <v>351</v>
      </c>
      <c r="B206" s="73">
        <v>45692</v>
      </c>
      <c r="C206" s="72" t="s">
        <v>325</v>
      </c>
      <c r="D206" s="72" t="s">
        <v>326</v>
      </c>
      <c r="E206" s="72" t="s">
        <v>31</v>
      </c>
      <c r="F206" s="72" t="s">
        <v>32</v>
      </c>
      <c r="G206" s="72" t="s">
        <v>33</v>
      </c>
      <c r="H206" s="74">
        <v>1</v>
      </c>
      <c r="I206" s="75">
        <v>59.99</v>
      </c>
      <c r="J206" s="72" t="s">
        <v>57</v>
      </c>
      <c r="K206" s="72" t="s">
        <v>21</v>
      </c>
      <c r="L206" s="72" t="s">
        <v>36</v>
      </c>
      <c r="M206" s="73">
        <v>45045</v>
      </c>
      <c r="N206" s="75">
        <f t="shared" si="3"/>
        <v>59.99</v>
      </c>
    </row>
    <row r="207" spans="1:14" x14ac:dyDescent="0.25">
      <c r="A207" s="76" t="s">
        <v>352</v>
      </c>
      <c r="B207" s="77">
        <v>45695</v>
      </c>
      <c r="C207" s="76" t="s">
        <v>246</v>
      </c>
      <c r="D207" s="76" t="s">
        <v>247</v>
      </c>
      <c r="E207" s="76" t="s">
        <v>44</v>
      </c>
      <c r="F207" s="76" t="s">
        <v>45</v>
      </c>
      <c r="G207" s="76" t="s">
        <v>46</v>
      </c>
      <c r="H207" s="78">
        <v>3</v>
      </c>
      <c r="I207" s="79">
        <v>149.99</v>
      </c>
      <c r="J207" s="76" t="s">
        <v>57</v>
      </c>
      <c r="K207" s="76" t="s">
        <v>40</v>
      </c>
      <c r="L207" s="76" t="s">
        <v>27</v>
      </c>
      <c r="M207" s="77">
        <v>44564</v>
      </c>
      <c r="N207" s="79">
        <f t="shared" si="3"/>
        <v>449.97</v>
      </c>
    </row>
    <row r="208" spans="1:14" x14ac:dyDescent="0.25">
      <c r="A208" s="72" t="s">
        <v>353</v>
      </c>
      <c r="B208" s="73">
        <v>45695</v>
      </c>
      <c r="C208" s="72" t="s">
        <v>93</v>
      </c>
      <c r="D208" s="72" t="s">
        <v>94</v>
      </c>
      <c r="E208" s="72" t="s">
        <v>105</v>
      </c>
      <c r="F208" s="72" t="s">
        <v>106</v>
      </c>
      <c r="G208" s="72" t="s">
        <v>46</v>
      </c>
      <c r="H208" s="74">
        <v>5</v>
      </c>
      <c r="I208" s="75">
        <v>299.99</v>
      </c>
      <c r="J208" s="72" t="s">
        <v>26</v>
      </c>
      <c r="K208" s="72" t="s">
        <v>35</v>
      </c>
      <c r="L208" s="72" t="s">
        <v>22</v>
      </c>
      <c r="M208" s="73">
        <v>44959</v>
      </c>
      <c r="N208" s="75">
        <f t="shared" si="3"/>
        <v>1499.95</v>
      </c>
    </row>
    <row r="209" spans="1:14" x14ac:dyDescent="0.25">
      <c r="A209" s="76" t="s">
        <v>354</v>
      </c>
      <c r="B209" s="77">
        <v>45696</v>
      </c>
      <c r="C209" s="76" t="s">
        <v>150</v>
      </c>
      <c r="D209" s="76" t="s">
        <v>151</v>
      </c>
      <c r="E209" s="76" t="s">
        <v>31</v>
      </c>
      <c r="F209" s="76" t="s">
        <v>32</v>
      </c>
      <c r="G209" s="76" t="s">
        <v>33</v>
      </c>
      <c r="H209" s="78">
        <v>5</v>
      </c>
      <c r="I209" s="79">
        <v>59.99</v>
      </c>
      <c r="J209" s="76" t="s">
        <v>57</v>
      </c>
      <c r="K209" s="76" t="s">
        <v>21</v>
      </c>
      <c r="L209" s="76" t="s">
        <v>36</v>
      </c>
      <c r="M209" s="77">
        <v>45177</v>
      </c>
      <c r="N209" s="79">
        <f t="shared" si="3"/>
        <v>299.95</v>
      </c>
    </row>
    <row r="210" spans="1:14" x14ac:dyDescent="0.25">
      <c r="A210" s="72" t="s">
        <v>355</v>
      </c>
      <c r="B210" s="73">
        <v>45701</v>
      </c>
      <c r="C210" s="72" t="s">
        <v>108</v>
      </c>
      <c r="D210" s="72" t="s">
        <v>109</v>
      </c>
      <c r="E210" s="72" t="s">
        <v>114</v>
      </c>
      <c r="F210" s="72" t="s">
        <v>115</v>
      </c>
      <c r="G210" s="72" t="s">
        <v>33</v>
      </c>
      <c r="H210" s="74">
        <v>3</v>
      </c>
      <c r="I210" s="75">
        <v>79.989999999999995</v>
      </c>
      <c r="J210" s="72" t="s">
        <v>20</v>
      </c>
      <c r="K210" s="72" t="s">
        <v>63</v>
      </c>
      <c r="L210" s="72" t="s">
        <v>27</v>
      </c>
      <c r="M210" s="73">
        <v>44436</v>
      </c>
      <c r="N210" s="75">
        <f t="shared" si="3"/>
        <v>239.96999999999997</v>
      </c>
    </row>
    <row r="211" spans="1:14" x14ac:dyDescent="0.25">
      <c r="A211" s="76" t="s">
        <v>356</v>
      </c>
      <c r="B211" s="77">
        <v>45704</v>
      </c>
      <c r="C211" s="76" t="s">
        <v>29</v>
      </c>
      <c r="D211" s="76" t="s">
        <v>30</v>
      </c>
      <c r="E211" s="76" t="s">
        <v>126</v>
      </c>
      <c r="F211" s="76" t="s">
        <v>127</v>
      </c>
      <c r="G211" s="76" t="s">
        <v>46</v>
      </c>
      <c r="H211" s="78">
        <v>3</v>
      </c>
      <c r="I211" s="79">
        <v>199.99</v>
      </c>
      <c r="J211" s="76" t="s">
        <v>20</v>
      </c>
      <c r="K211" s="76" t="s">
        <v>21</v>
      </c>
      <c r="L211" s="76" t="s">
        <v>22</v>
      </c>
      <c r="M211" s="77">
        <v>44735</v>
      </c>
      <c r="N211" s="79">
        <f t="shared" si="3"/>
        <v>599.97</v>
      </c>
    </row>
    <row r="212" spans="1:14" x14ac:dyDescent="0.25">
      <c r="A212" s="72" t="s">
        <v>357</v>
      </c>
      <c r="B212" s="73">
        <v>45704</v>
      </c>
      <c r="C212" s="72" t="s">
        <v>15</v>
      </c>
      <c r="D212" s="72" t="s">
        <v>16</v>
      </c>
      <c r="E212" s="72" t="s">
        <v>117</v>
      </c>
      <c r="F212" s="72" t="s">
        <v>118</v>
      </c>
      <c r="G212" s="72" t="s">
        <v>19</v>
      </c>
      <c r="H212" s="74">
        <v>2</v>
      </c>
      <c r="I212" s="75">
        <v>89.99</v>
      </c>
      <c r="J212" s="72" t="s">
        <v>34</v>
      </c>
      <c r="K212" s="72" t="s">
        <v>21</v>
      </c>
      <c r="L212" s="72" t="s">
        <v>22</v>
      </c>
      <c r="M212" s="73">
        <v>45257</v>
      </c>
      <c r="N212" s="75">
        <f t="shared" si="3"/>
        <v>179.98</v>
      </c>
    </row>
    <row r="213" spans="1:14" x14ac:dyDescent="0.25">
      <c r="A213" s="76" t="s">
        <v>358</v>
      </c>
      <c r="B213" s="77">
        <v>45705</v>
      </c>
      <c r="C213" s="76" t="s">
        <v>259</v>
      </c>
      <c r="D213" s="76" t="s">
        <v>260</v>
      </c>
      <c r="E213" s="76" t="s">
        <v>44</v>
      </c>
      <c r="F213" s="76" t="s">
        <v>45</v>
      </c>
      <c r="G213" s="76" t="s">
        <v>46</v>
      </c>
      <c r="H213" s="78">
        <v>2</v>
      </c>
      <c r="I213" s="79">
        <v>149.99</v>
      </c>
      <c r="J213" s="76" t="s">
        <v>20</v>
      </c>
      <c r="K213" s="76" t="s">
        <v>35</v>
      </c>
      <c r="L213" s="76" t="s">
        <v>27</v>
      </c>
      <c r="M213" s="77">
        <v>44728</v>
      </c>
      <c r="N213" s="79">
        <f t="shared" si="3"/>
        <v>299.98</v>
      </c>
    </row>
    <row r="214" spans="1:14" x14ac:dyDescent="0.25">
      <c r="A214" s="72" t="s">
        <v>359</v>
      </c>
      <c r="B214" s="73">
        <v>45707</v>
      </c>
      <c r="C214" s="72" t="s">
        <v>123</v>
      </c>
      <c r="D214" s="72" t="s">
        <v>124</v>
      </c>
      <c r="E214" s="72" t="s">
        <v>80</v>
      </c>
      <c r="F214" s="72" t="s">
        <v>81</v>
      </c>
      <c r="G214" s="72" t="s">
        <v>19</v>
      </c>
      <c r="H214" s="74">
        <v>5</v>
      </c>
      <c r="I214" s="75">
        <v>699.99</v>
      </c>
      <c r="J214" s="72" t="s">
        <v>34</v>
      </c>
      <c r="K214" s="72" t="s">
        <v>35</v>
      </c>
      <c r="L214" s="72" t="s">
        <v>27</v>
      </c>
      <c r="M214" s="73">
        <v>45352</v>
      </c>
      <c r="N214" s="75">
        <f t="shared" si="3"/>
        <v>3499.95</v>
      </c>
    </row>
    <row r="215" spans="1:14" x14ac:dyDescent="0.25">
      <c r="A215" s="76" t="s">
        <v>360</v>
      </c>
      <c r="B215" s="77">
        <v>45707</v>
      </c>
      <c r="C215" s="76" t="s">
        <v>42</v>
      </c>
      <c r="D215" s="76" t="s">
        <v>43</v>
      </c>
      <c r="E215" s="76" t="s">
        <v>44</v>
      </c>
      <c r="F215" s="76" t="s">
        <v>45</v>
      </c>
      <c r="G215" s="76" t="s">
        <v>46</v>
      </c>
      <c r="H215" s="78">
        <v>3</v>
      </c>
      <c r="I215" s="79">
        <v>149.99</v>
      </c>
      <c r="J215" s="76" t="s">
        <v>34</v>
      </c>
      <c r="K215" s="76" t="s">
        <v>21</v>
      </c>
      <c r="L215" s="76" t="s">
        <v>36</v>
      </c>
      <c r="M215" s="77">
        <v>44633</v>
      </c>
      <c r="N215" s="79">
        <f t="shared" si="3"/>
        <v>449.97</v>
      </c>
    </row>
    <row r="216" spans="1:14" x14ac:dyDescent="0.25">
      <c r="A216" s="72" t="s">
        <v>361</v>
      </c>
      <c r="B216" s="73">
        <v>45708</v>
      </c>
      <c r="C216" s="72" t="s">
        <v>96</v>
      </c>
      <c r="D216" s="72" t="s">
        <v>97</v>
      </c>
      <c r="E216" s="72" t="s">
        <v>61</v>
      </c>
      <c r="F216" s="72" t="s">
        <v>62</v>
      </c>
      <c r="G216" s="72" t="s">
        <v>19</v>
      </c>
      <c r="H216" s="74">
        <v>3</v>
      </c>
      <c r="I216" s="75">
        <v>899.99</v>
      </c>
      <c r="J216" s="72" t="s">
        <v>20</v>
      </c>
      <c r="K216" s="72" t="s">
        <v>63</v>
      </c>
      <c r="L216" s="72" t="s">
        <v>36</v>
      </c>
      <c r="M216" s="73">
        <v>44613</v>
      </c>
      <c r="N216" s="75">
        <f t="shared" si="3"/>
        <v>2699.9700000000003</v>
      </c>
    </row>
    <row r="217" spans="1:14" x14ac:dyDescent="0.25">
      <c r="A217" s="76" t="s">
        <v>362</v>
      </c>
      <c r="B217" s="77">
        <v>45708</v>
      </c>
      <c r="C217" s="76" t="s">
        <v>192</v>
      </c>
      <c r="D217" s="76" t="s">
        <v>193</v>
      </c>
      <c r="E217" s="76" t="s">
        <v>126</v>
      </c>
      <c r="F217" s="76" t="s">
        <v>127</v>
      </c>
      <c r="G217" s="76" t="s">
        <v>46</v>
      </c>
      <c r="H217" s="78">
        <v>3</v>
      </c>
      <c r="I217" s="79">
        <v>199.99</v>
      </c>
      <c r="J217" s="76" t="s">
        <v>20</v>
      </c>
      <c r="K217" s="76" t="s">
        <v>50</v>
      </c>
      <c r="L217" s="76" t="s">
        <v>27</v>
      </c>
      <c r="M217" s="77">
        <v>44823</v>
      </c>
      <c r="N217" s="79">
        <f t="shared" si="3"/>
        <v>599.97</v>
      </c>
    </row>
    <row r="218" spans="1:14" x14ac:dyDescent="0.25">
      <c r="A218" s="72" t="s">
        <v>363</v>
      </c>
      <c r="B218" s="73">
        <v>45710</v>
      </c>
      <c r="C218" s="72" t="s">
        <v>55</v>
      </c>
      <c r="D218" s="72" t="s">
        <v>56</v>
      </c>
      <c r="E218" s="72" t="s">
        <v>105</v>
      </c>
      <c r="F218" s="72" t="s">
        <v>106</v>
      </c>
      <c r="G218" s="72" t="s">
        <v>46</v>
      </c>
      <c r="H218" s="74">
        <v>5</v>
      </c>
      <c r="I218" s="75">
        <v>299.99</v>
      </c>
      <c r="J218" s="72" t="s">
        <v>20</v>
      </c>
      <c r="K218" s="72" t="s">
        <v>50</v>
      </c>
      <c r="L218" s="72" t="s">
        <v>36</v>
      </c>
      <c r="M218" s="73">
        <v>45142</v>
      </c>
      <c r="N218" s="75">
        <f t="shared" si="3"/>
        <v>1499.95</v>
      </c>
    </row>
    <row r="219" spans="1:14" x14ac:dyDescent="0.25">
      <c r="A219" s="76" t="s">
        <v>364</v>
      </c>
      <c r="B219" s="77">
        <v>45710</v>
      </c>
      <c r="C219" s="76" t="s">
        <v>150</v>
      </c>
      <c r="D219" s="76" t="s">
        <v>151</v>
      </c>
      <c r="E219" s="76" t="s">
        <v>80</v>
      </c>
      <c r="F219" s="76" t="s">
        <v>81</v>
      </c>
      <c r="G219" s="76" t="s">
        <v>19</v>
      </c>
      <c r="H219" s="78">
        <v>1</v>
      </c>
      <c r="I219" s="79">
        <v>699.99</v>
      </c>
      <c r="J219" s="76" t="s">
        <v>34</v>
      </c>
      <c r="K219" s="76" t="s">
        <v>50</v>
      </c>
      <c r="L219" s="76" t="s">
        <v>22</v>
      </c>
      <c r="M219" s="77">
        <v>44934</v>
      </c>
      <c r="N219" s="79">
        <f t="shared" si="3"/>
        <v>699.99</v>
      </c>
    </row>
    <row r="220" spans="1:14" x14ac:dyDescent="0.25">
      <c r="A220" s="72" t="s">
        <v>365</v>
      </c>
      <c r="B220" s="73">
        <v>45711</v>
      </c>
      <c r="C220" s="72" t="s">
        <v>246</v>
      </c>
      <c r="D220" s="72" t="s">
        <v>247</v>
      </c>
      <c r="E220" s="72" t="s">
        <v>80</v>
      </c>
      <c r="F220" s="72" t="s">
        <v>81</v>
      </c>
      <c r="G220" s="72" t="s">
        <v>19</v>
      </c>
      <c r="H220" s="74">
        <v>1</v>
      </c>
      <c r="I220" s="75">
        <v>699.99</v>
      </c>
      <c r="J220" s="72" t="s">
        <v>20</v>
      </c>
      <c r="K220" s="72" t="s">
        <v>40</v>
      </c>
      <c r="L220" s="72" t="s">
        <v>27</v>
      </c>
      <c r="M220" s="73">
        <v>44583</v>
      </c>
      <c r="N220" s="75">
        <f t="shared" si="3"/>
        <v>699.99</v>
      </c>
    </row>
    <row r="221" spans="1:14" x14ac:dyDescent="0.25">
      <c r="A221" s="76" t="s">
        <v>366</v>
      </c>
      <c r="B221" s="77">
        <v>45711</v>
      </c>
      <c r="C221" s="76" t="s">
        <v>325</v>
      </c>
      <c r="D221" s="76" t="s">
        <v>326</v>
      </c>
      <c r="E221" s="76" t="s">
        <v>44</v>
      </c>
      <c r="F221" s="76" t="s">
        <v>45</v>
      </c>
      <c r="G221" s="76" t="s">
        <v>46</v>
      </c>
      <c r="H221" s="78">
        <v>4</v>
      </c>
      <c r="I221" s="79">
        <v>149.99</v>
      </c>
      <c r="J221" s="76" t="s">
        <v>34</v>
      </c>
      <c r="K221" s="76" t="s">
        <v>40</v>
      </c>
      <c r="L221" s="76" t="s">
        <v>27</v>
      </c>
      <c r="M221" s="77">
        <v>44412</v>
      </c>
      <c r="N221" s="79">
        <f t="shared" si="3"/>
        <v>599.96</v>
      </c>
    </row>
    <row r="222" spans="1:14" x14ac:dyDescent="0.25">
      <c r="A222" s="72" t="s">
        <v>367</v>
      </c>
      <c r="B222" s="73">
        <v>45711</v>
      </c>
      <c r="C222" s="72" t="s">
        <v>211</v>
      </c>
      <c r="D222" s="72" t="s">
        <v>212</v>
      </c>
      <c r="E222" s="72" t="s">
        <v>117</v>
      </c>
      <c r="F222" s="72" t="s">
        <v>118</v>
      </c>
      <c r="G222" s="72" t="s">
        <v>19</v>
      </c>
      <c r="H222" s="74">
        <v>5</v>
      </c>
      <c r="I222" s="75">
        <v>89.99</v>
      </c>
      <c r="J222" s="72" t="s">
        <v>34</v>
      </c>
      <c r="K222" s="72" t="s">
        <v>50</v>
      </c>
      <c r="L222" s="72" t="s">
        <v>27</v>
      </c>
      <c r="M222" s="73">
        <v>45140</v>
      </c>
      <c r="N222" s="75">
        <f t="shared" si="3"/>
        <v>449.95</v>
      </c>
    </row>
    <row r="223" spans="1:14" x14ac:dyDescent="0.25">
      <c r="A223" s="76" t="s">
        <v>368</v>
      </c>
      <c r="B223" s="77">
        <v>45712</v>
      </c>
      <c r="C223" s="76" t="s">
        <v>138</v>
      </c>
      <c r="D223" s="76" t="s">
        <v>139</v>
      </c>
      <c r="E223" s="76" t="s">
        <v>126</v>
      </c>
      <c r="F223" s="76" t="s">
        <v>127</v>
      </c>
      <c r="G223" s="76" t="s">
        <v>46</v>
      </c>
      <c r="H223" s="78">
        <v>2</v>
      </c>
      <c r="I223" s="79">
        <v>199.99</v>
      </c>
      <c r="J223" s="76" t="s">
        <v>20</v>
      </c>
      <c r="K223" s="76" t="s">
        <v>21</v>
      </c>
      <c r="L223" s="76" t="s">
        <v>27</v>
      </c>
      <c r="M223" s="77">
        <v>44573</v>
      </c>
      <c r="N223" s="79">
        <f t="shared" si="3"/>
        <v>399.98</v>
      </c>
    </row>
    <row r="224" spans="1:14" x14ac:dyDescent="0.25">
      <c r="A224" s="72" t="s">
        <v>369</v>
      </c>
      <c r="B224" s="73">
        <v>45715</v>
      </c>
      <c r="C224" s="72" t="s">
        <v>259</v>
      </c>
      <c r="D224" s="72" t="s">
        <v>260</v>
      </c>
      <c r="E224" s="72" t="s">
        <v>31</v>
      </c>
      <c r="F224" s="72" t="s">
        <v>32</v>
      </c>
      <c r="G224" s="72" t="s">
        <v>33</v>
      </c>
      <c r="H224" s="74">
        <v>4</v>
      </c>
      <c r="I224" s="75">
        <v>59.99</v>
      </c>
      <c r="J224" s="72" t="s">
        <v>20</v>
      </c>
      <c r="K224" s="72" t="s">
        <v>50</v>
      </c>
      <c r="L224" s="72" t="s">
        <v>36</v>
      </c>
      <c r="M224" s="73">
        <v>45070</v>
      </c>
      <c r="N224" s="75">
        <f t="shared" si="3"/>
        <v>239.96</v>
      </c>
    </row>
    <row r="225" spans="1:14" x14ac:dyDescent="0.25">
      <c r="A225" s="76" t="s">
        <v>370</v>
      </c>
      <c r="B225" s="77">
        <v>45715</v>
      </c>
      <c r="C225" s="76" t="s">
        <v>93</v>
      </c>
      <c r="D225" s="76" t="s">
        <v>94</v>
      </c>
      <c r="E225" s="76" t="s">
        <v>105</v>
      </c>
      <c r="F225" s="76" t="s">
        <v>106</v>
      </c>
      <c r="G225" s="76" t="s">
        <v>46</v>
      </c>
      <c r="H225" s="78">
        <v>2</v>
      </c>
      <c r="I225" s="79">
        <v>299.99</v>
      </c>
      <c r="J225" s="76" t="s">
        <v>34</v>
      </c>
      <c r="K225" s="76" t="s">
        <v>35</v>
      </c>
      <c r="L225" s="76" t="s">
        <v>22</v>
      </c>
      <c r="M225" s="77">
        <v>44576</v>
      </c>
      <c r="N225" s="79">
        <f t="shared" si="3"/>
        <v>599.98</v>
      </c>
    </row>
    <row r="226" spans="1:14" x14ac:dyDescent="0.25">
      <c r="A226" s="72" t="s">
        <v>371</v>
      </c>
      <c r="B226" s="73">
        <v>45718</v>
      </c>
      <c r="C226" s="72" t="s">
        <v>55</v>
      </c>
      <c r="D226" s="72" t="s">
        <v>56</v>
      </c>
      <c r="E226" s="72" t="s">
        <v>44</v>
      </c>
      <c r="F226" s="72" t="s">
        <v>45</v>
      </c>
      <c r="G226" s="72" t="s">
        <v>46</v>
      </c>
      <c r="H226" s="74">
        <v>2</v>
      </c>
      <c r="I226" s="75">
        <v>149.99</v>
      </c>
      <c r="J226" s="72" t="s">
        <v>20</v>
      </c>
      <c r="K226" s="72" t="s">
        <v>21</v>
      </c>
      <c r="L226" s="72" t="s">
        <v>22</v>
      </c>
      <c r="M226" s="73">
        <v>45068</v>
      </c>
      <c r="N226" s="75">
        <f t="shared" si="3"/>
        <v>299.98</v>
      </c>
    </row>
    <row r="227" spans="1:14" x14ac:dyDescent="0.25">
      <c r="A227" s="76" t="s">
        <v>372</v>
      </c>
      <c r="B227" s="77">
        <v>45720</v>
      </c>
      <c r="C227" s="76" t="s">
        <v>226</v>
      </c>
      <c r="D227" s="76" t="s">
        <v>227</v>
      </c>
      <c r="E227" s="76" t="s">
        <v>80</v>
      </c>
      <c r="F227" s="76" t="s">
        <v>81</v>
      </c>
      <c r="G227" s="76" t="s">
        <v>19</v>
      </c>
      <c r="H227" s="78">
        <v>5</v>
      </c>
      <c r="I227" s="79">
        <v>699.99</v>
      </c>
      <c r="J227" s="76" t="s">
        <v>57</v>
      </c>
      <c r="K227" s="76" t="s">
        <v>63</v>
      </c>
      <c r="L227" s="76" t="s">
        <v>27</v>
      </c>
      <c r="M227" s="77">
        <v>45161</v>
      </c>
      <c r="N227" s="79">
        <f t="shared" si="3"/>
        <v>3499.95</v>
      </c>
    </row>
    <row r="228" spans="1:14" x14ac:dyDescent="0.25">
      <c r="A228" s="72" t="s">
        <v>373</v>
      </c>
      <c r="B228" s="73">
        <v>45721</v>
      </c>
      <c r="C228" s="72" t="s">
        <v>75</v>
      </c>
      <c r="D228" s="72" t="s">
        <v>76</v>
      </c>
      <c r="E228" s="72" t="s">
        <v>31</v>
      </c>
      <c r="F228" s="72" t="s">
        <v>32</v>
      </c>
      <c r="G228" s="72" t="s">
        <v>33</v>
      </c>
      <c r="H228" s="74">
        <v>5</v>
      </c>
      <c r="I228" s="75">
        <v>59.99</v>
      </c>
      <c r="J228" s="72" t="s">
        <v>20</v>
      </c>
      <c r="K228" s="72" t="s">
        <v>50</v>
      </c>
      <c r="L228" s="72" t="s">
        <v>27</v>
      </c>
      <c r="M228" s="73">
        <v>45291</v>
      </c>
      <c r="N228" s="75">
        <f t="shared" si="3"/>
        <v>299.95</v>
      </c>
    </row>
    <row r="229" spans="1:14" x14ac:dyDescent="0.25">
      <c r="A229" s="76" t="s">
        <v>374</v>
      </c>
      <c r="B229" s="77">
        <v>45723</v>
      </c>
      <c r="C229" s="76" t="s">
        <v>15</v>
      </c>
      <c r="D229" s="76" t="s">
        <v>16</v>
      </c>
      <c r="E229" s="76" t="s">
        <v>117</v>
      </c>
      <c r="F229" s="76" t="s">
        <v>118</v>
      </c>
      <c r="G229" s="76" t="s">
        <v>19</v>
      </c>
      <c r="H229" s="78">
        <v>2</v>
      </c>
      <c r="I229" s="79">
        <v>89.99</v>
      </c>
      <c r="J229" s="76" t="s">
        <v>26</v>
      </c>
      <c r="K229" s="76" t="s">
        <v>50</v>
      </c>
      <c r="L229" s="76" t="s">
        <v>27</v>
      </c>
      <c r="M229" s="77">
        <v>45295</v>
      </c>
      <c r="N229" s="79">
        <f t="shared" si="3"/>
        <v>179.98</v>
      </c>
    </row>
    <row r="230" spans="1:14" x14ac:dyDescent="0.25">
      <c r="A230" s="72" t="s">
        <v>375</v>
      </c>
      <c r="B230" s="73">
        <v>45723</v>
      </c>
      <c r="C230" s="72" t="s">
        <v>120</v>
      </c>
      <c r="D230" s="72" t="s">
        <v>121</v>
      </c>
      <c r="E230" s="72" t="s">
        <v>17</v>
      </c>
      <c r="F230" s="72" t="s">
        <v>18</v>
      </c>
      <c r="G230" s="72" t="s">
        <v>19</v>
      </c>
      <c r="H230" s="74">
        <v>5</v>
      </c>
      <c r="I230" s="75">
        <v>249.99</v>
      </c>
      <c r="J230" s="72" t="s">
        <v>20</v>
      </c>
      <c r="K230" s="72" t="s">
        <v>63</v>
      </c>
      <c r="L230" s="72" t="s">
        <v>36</v>
      </c>
      <c r="M230" s="73">
        <v>44540</v>
      </c>
      <c r="N230" s="75">
        <f t="shared" si="3"/>
        <v>1249.95</v>
      </c>
    </row>
    <row r="231" spans="1:14" x14ac:dyDescent="0.25">
      <c r="A231" s="76" t="s">
        <v>376</v>
      </c>
      <c r="B231" s="77">
        <v>45724</v>
      </c>
      <c r="C231" s="76" t="s">
        <v>226</v>
      </c>
      <c r="D231" s="76" t="s">
        <v>227</v>
      </c>
      <c r="E231" s="76" t="s">
        <v>44</v>
      </c>
      <c r="F231" s="76" t="s">
        <v>45</v>
      </c>
      <c r="G231" s="76" t="s">
        <v>46</v>
      </c>
      <c r="H231" s="78">
        <v>2</v>
      </c>
      <c r="I231" s="79">
        <v>149.99</v>
      </c>
      <c r="J231" s="76" t="s">
        <v>34</v>
      </c>
      <c r="K231" s="76" t="s">
        <v>21</v>
      </c>
      <c r="L231" s="76" t="s">
        <v>27</v>
      </c>
      <c r="M231" s="77">
        <v>44632</v>
      </c>
      <c r="N231" s="79">
        <f t="shared" si="3"/>
        <v>299.98</v>
      </c>
    </row>
    <row r="232" spans="1:14" x14ac:dyDescent="0.25">
      <c r="A232" s="72" t="s">
        <v>377</v>
      </c>
      <c r="B232" s="73">
        <v>45724</v>
      </c>
      <c r="C232" s="72" t="s">
        <v>144</v>
      </c>
      <c r="D232" s="72" t="s">
        <v>145</v>
      </c>
      <c r="E232" s="72" t="s">
        <v>61</v>
      </c>
      <c r="F232" s="72" t="s">
        <v>62</v>
      </c>
      <c r="G232" s="72" t="s">
        <v>19</v>
      </c>
      <c r="H232" s="74">
        <v>5</v>
      </c>
      <c r="I232" s="75">
        <v>899.99</v>
      </c>
      <c r="J232" s="72" t="s">
        <v>34</v>
      </c>
      <c r="K232" s="72" t="s">
        <v>63</v>
      </c>
      <c r="L232" s="72" t="s">
        <v>27</v>
      </c>
      <c r="M232" s="73">
        <v>45389</v>
      </c>
      <c r="N232" s="75">
        <f t="shared" si="3"/>
        <v>4499.95</v>
      </c>
    </row>
    <row r="233" spans="1:14" x14ac:dyDescent="0.25">
      <c r="A233" s="76" t="s">
        <v>378</v>
      </c>
      <c r="B233" s="77">
        <v>45724</v>
      </c>
      <c r="C233" s="76" t="s">
        <v>55</v>
      </c>
      <c r="D233" s="76" t="s">
        <v>56</v>
      </c>
      <c r="E233" s="76" t="s">
        <v>44</v>
      </c>
      <c r="F233" s="76" t="s">
        <v>45</v>
      </c>
      <c r="G233" s="76" t="s">
        <v>46</v>
      </c>
      <c r="H233" s="78">
        <v>4</v>
      </c>
      <c r="I233" s="79">
        <v>149.99</v>
      </c>
      <c r="J233" s="76" t="s">
        <v>20</v>
      </c>
      <c r="K233" s="76" t="s">
        <v>21</v>
      </c>
      <c r="L233" s="76" t="s">
        <v>36</v>
      </c>
      <c r="M233" s="77">
        <v>45263</v>
      </c>
      <c r="N233" s="79">
        <f t="shared" si="3"/>
        <v>599.96</v>
      </c>
    </row>
    <row r="234" spans="1:14" x14ac:dyDescent="0.25">
      <c r="A234" s="72" t="s">
        <v>379</v>
      </c>
      <c r="B234" s="73">
        <v>45726</v>
      </c>
      <c r="C234" s="72" t="s">
        <v>144</v>
      </c>
      <c r="D234" s="72" t="s">
        <v>145</v>
      </c>
      <c r="E234" s="72" t="s">
        <v>17</v>
      </c>
      <c r="F234" s="72" t="s">
        <v>18</v>
      </c>
      <c r="G234" s="72" t="s">
        <v>19</v>
      </c>
      <c r="H234" s="74">
        <v>1</v>
      </c>
      <c r="I234" s="75">
        <v>249.99</v>
      </c>
      <c r="J234" s="72" t="s">
        <v>20</v>
      </c>
      <c r="K234" s="72" t="s">
        <v>40</v>
      </c>
      <c r="L234" s="72" t="s">
        <v>36</v>
      </c>
      <c r="M234" s="73">
        <v>45117</v>
      </c>
      <c r="N234" s="75">
        <f t="shared" si="3"/>
        <v>249.99</v>
      </c>
    </row>
    <row r="235" spans="1:14" x14ac:dyDescent="0.25">
      <c r="A235" s="76" t="s">
        <v>380</v>
      </c>
      <c r="B235" s="77">
        <v>45734</v>
      </c>
      <c r="C235" s="76" t="s">
        <v>192</v>
      </c>
      <c r="D235" s="76" t="s">
        <v>193</v>
      </c>
      <c r="E235" s="76" t="s">
        <v>31</v>
      </c>
      <c r="F235" s="76" t="s">
        <v>32</v>
      </c>
      <c r="G235" s="76" t="s">
        <v>33</v>
      </c>
      <c r="H235" s="78">
        <v>2</v>
      </c>
      <c r="I235" s="79">
        <v>59.99</v>
      </c>
      <c r="J235" s="76" t="s">
        <v>26</v>
      </c>
      <c r="K235" s="76" t="s">
        <v>50</v>
      </c>
      <c r="L235" s="76" t="s">
        <v>22</v>
      </c>
      <c r="M235" s="77">
        <v>45193</v>
      </c>
      <c r="N235" s="79">
        <f t="shared" si="3"/>
        <v>119.98</v>
      </c>
    </row>
    <row r="236" spans="1:14" x14ac:dyDescent="0.25">
      <c r="A236" s="72" t="s">
        <v>381</v>
      </c>
      <c r="B236" s="73">
        <v>45737</v>
      </c>
      <c r="C236" s="72" t="s">
        <v>132</v>
      </c>
      <c r="D236" s="72" t="s">
        <v>133</v>
      </c>
      <c r="E236" s="72" t="s">
        <v>44</v>
      </c>
      <c r="F236" s="72" t="s">
        <v>45</v>
      </c>
      <c r="G236" s="72" t="s">
        <v>46</v>
      </c>
      <c r="H236" s="74">
        <v>2</v>
      </c>
      <c r="I236" s="75">
        <v>149.99</v>
      </c>
      <c r="J236" s="72" t="s">
        <v>20</v>
      </c>
      <c r="K236" s="72" t="s">
        <v>50</v>
      </c>
      <c r="L236" s="72" t="s">
        <v>27</v>
      </c>
      <c r="M236" s="73">
        <v>45233</v>
      </c>
      <c r="N236" s="75">
        <f t="shared" si="3"/>
        <v>299.98</v>
      </c>
    </row>
    <row r="237" spans="1:14" x14ac:dyDescent="0.25">
      <c r="A237" s="76" t="s">
        <v>382</v>
      </c>
      <c r="B237" s="77">
        <v>45737</v>
      </c>
      <c r="C237" s="76" t="s">
        <v>150</v>
      </c>
      <c r="D237" s="76" t="s">
        <v>151</v>
      </c>
      <c r="E237" s="76" t="s">
        <v>61</v>
      </c>
      <c r="F237" s="76" t="s">
        <v>62</v>
      </c>
      <c r="G237" s="76" t="s">
        <v>19</v>
      </c>
      <c r="H237" s="78">
        <v>3</v>
      </c>
      <c r="I237" s="79">
        <v>899.99</v>
      </c>
      <c r="J237" s="76" t="s">
        <v>57</v>
      </c>
      <c r="K237" s="76" t="s">
        <v>40</v>
      </c>
      <c r="L237" s="76" t="s">
        <v>27</v>
      </c>
      <c r="M237" s="77">
        <v>44876</v>
      </c>
      <c r="N237" s="79">
        <f t="shared" si="3"/>
        <v>2699.9700000000003</v>
      </c>
    </row>
    <row r="238" spans="1:14" x14ac:dyDescent="0.25">
      <c r="A238" s="72" t="s">
        <v>383</v>
      </c>
      <c r="B238" s="73">
        <v>45737</v>
      </c>
      <c r="C238" s="72" t="s">
        <v>48</v>
      </c>
      <c r="D238" s="72" t="s">
        <v>49</v>
      </c>
      <c r="E238" s="72" t="s">
        <v>61</v>
      </c>
      <c r="F238" s="72" t="s">
        <v>62</v>
      </c>
      <c r="G238" s="72" t="s">
        <v>19</v>
      </c>
      <c r="H238" s="74">
        <v>3</v>
      </c>
      <c r="I238" s="75">
        <v>899.99</v>
      </c>
      <c r="J238" s="72" t="s">
        <v>34</v>
      </c>
      <c r="K238" s="72" t="s">
        <v>40</v>
      </c>
      <c r="L238" s="72" t="s">
        <v>22</v>
      </c>
      <c r="M238" s="73">
        <v>44975</v>
      </c>
      <c r="N238" s="75">
        <f t="shared" si="3"/>
        <v>2699.9700000000003</v>
      </c>
    </row>
    <row r="239" spans="1:14" x14ac:dyDescent="0.25">
      <c r="A239" s="76" t="s">
        <v>384</v>
      </c>
      <c r="B239" s="77">
        <v>45739</v>
      </c>
      <c r="C239" s="76" t="s">
        <v>15</v>
      </c>
      <c r="D239" s="76" t="s">
        <v>16</v>
      </c>
      <c r="E239" s="76" t="s">
        <v>105</v>
      </c>
      <c r="F239" s="76" t="s">
        <v>106</v>
      </c>
      <c r="G239" s="76" t="s">
        <v>46</v>
      </c>
      <c r="H239" s="78">
        <v>3</v>
      </c>
      <c r="I239" s="79">
        <v>299.99</v>
      </c>
      <c r="J239" s="76" t="s">
        <v>26</v>
      </c>
      <c r="K239" s="76" t="s">
        <v>50</v>
      </c>
      <c r="L239" s="76" t="s">
        <v>27</v>
      </c>
      <c r="M239" s="77">
        <v>45234</v>
      </c>
      <c r="N239" s="79">
        <f t="shared" si="3"/>
        <v>899.97</v>
      </c>
    </row>
    <row r="240" spans="1:14" x14ac:dyDescent="0.25">
      <c r="A240" s="72" t="s">
        <v>385</v>
      </c>
      <c r="B240" s="73">
        <v>45740</v>
      </c>
      <c r="C240" s="72" t="s">
        <v>386</v>
      </c>
      <c r="D240" s="72" t="s">
        <v>387</v>
      </c>
      <c r="E240" s="72" t="s">
        <v>44</v>
      </c>
      <c r="F240" s="72" t="s">
        <v>45</v>
      </c>
      <c r="G240" s="72" t="s">
        <v>46</v>
      </c>
      <c r="H240" s="74">
        <v>4</v>
      </c>
      <c r="I240" s="75">
        <v>149.99</v>
      </c>
      <c r="J240" s="72" t="s">
        <v>34</v>
      </c>
      <c r="K240" s="72" t="s">
        <v>50</v>
      </c>
      <c r="L240" s="72" t="s">
        <v>36</v>
      </c>
      <c r="M240" s="73">
        <v>44560</v>
      </c>
      <c r="N240" s="75">
        <f t="shared" si="3"/>
        <v>599.96</v>
      </c>
    </row>
    <row r="241" spans="1:14" x14ac:dyDescent="0.25">
      <c r="A241" s="76" t="s">
        <v>388</v>
      </c>
      <c r="B241" s="77">
        <v>45743</v>
      </c>
      <c r="C241" s="76" t="s">
        <v>102</v>
      </c>
      <c r="D241" s="76" t="s">
        <v>103</v>
      </c>
      <c r="E241" s="76" t="s">
        <v>114</v>
      </c>
      <c r="F241" s="76" t="s">
        <v>115</v>
      </c>
      <c r="G241" s="76" t="s">
        <v>33</v>
      </c>
      <c r="H241" s="78">
        <v>4</v>
      </c>
      <c r="I241" s="79">
        <v>79.989999999999995</v>
      </c>
      <c r="J241" s="76" t="s">
        <v>26</v>
      </c>
      <c r="K241" s="76" t="s">
        <v>21</v>
      </c>
      <c r="L241" s="76" t="s">
        <v>22</v>
      </c>
      <c r="M241" s="77">
        <v>45288</v>
      </c>
      <c r="N241" s="79">
        <f t="shared" si="3"/>
        <v>319.95999999999998</v>
      </c>
    </row>
    <row r="242" spans="1:14" x14ac:dyDescent="0.25">
      <c r="A242" s="72" t="s">
        <v>389</v>
      </c>
      <c r="B242" s="73">
        <v>45745</v>
      </c>
      <c r="C242" s="72" t="s">
        <v>185</v>
      </c>
      <c r="D242" s="72" t="s">
        <v>186</v>
      </c>
      <c r="E242" s="72" t="s">
        <v>117</v>
      </c>
      <c r="F242" s="72" t="s">
        <v>118</v>
      </c>
      <c r="G242" s="72" t="s">
        <v>19</v>
      </c>
      <c r="H242" s="74">
        <v>5</v>
      </c>
      <c r="I242" s="75">
        <v>89.99</v>
      </c>
      <c r="J242" s="72" t="s">
        <v>34</v>
      </c>
      <c r="K242" s="72" t="s">
        <v>35</v>
      </c>
      <c r="L242" s="72" t="s">
        <v>22</v>
      </c>
      <c r="M242" s="73">
        <v>44704</v>
      </c>
      <c r="N242" s="75">
        <f t="shared" si="3"/>
        <v>449.95</v>
      </c>
    </row>
    <row r="243" spans="1:14" x14ac:dyDescent="0.25">
      <c r="A243" s="76" t="s">
        <v>390</v>
      </c>
      <c r="B243" s="77">
        <v>45746</v>
      </c>
      <c r="C243" s="76" t="s">
        <v>93</v>
      </c>
      <c r="D243" s="76" t="s">
        <v>94</v>
      </c>
      <c r="E243" s="76" t="s">
        <v>44</v>
      </c>
      <c r="F243" s="76" t="s">
        <v>45</v>
      </c>
      <c r="G243" s="76" t="s">
        <v>46</v>
      </c>
      <c r="H243" s="78">
        <v>3</v>
      </c>
      <c r="I243" s="79">
        <v>149.99</v>
      </c>
      <c r="J243" s="76" t="s">
        <v>34</v>
      </c>
      <c r="K243" s="76" t="s">
        <v>21</v>
      </c>
      <c r="L243" s="76" t="s">
        <v>36</v>
      </c>
      <c r="M243" s="77">
        <v>45171</v>
      </c>
      <c r="N243" s="79">
        <f t="shared" si="3"/>
        <v>449.97</v>
      </c>
    </row>
    <row r="244" spans="1:14" x14ac:dyDescent="0.25">
      <c r="A244" s="72" t="s">
        <v>391</v>
      </c>
      <c r="B244" s="73">
        <v>45746</v>
      </c>
      <c r="C244" s="72" t="s">
        <v>65</v>
      </c>
      <c r="D244" s="72" t="s">
        <v>66</v>
      </c>
      <c r="E244" s="72" t="s">
        <v>117</v>
      </c>
      <c r="F244" s="72" t="s">
        <v>118</v>
      </c>
      <c r="G244" s="72" t="s">
        <v>19</v>
      </c>
      <c r="H244" s="74">
        <v>2</v>
      </c>
      <c r="I244" s="75">
        <v>89.99</v>
      </c>
      <c r="J244" s="72" t="s">
        <v>57</v>
      </c>
      <c r="K244" s="72" t="s">
        <v>50</v>
      </c>
      <c r="L244" s="72" t="s">
        <v>27</v>
      </c>
      <c r="M244" s="73">
        <v>44522</v>
      </c>
      <c r="N244" s="75">
        <f t="shared" si="3"/>
        <v>179.98</v>
      </c>
    </row>
    <row r="245" spans="1:14" x14ac:dyDescent="0.25">
      <c r="A245" s="76" t="s">
        <v>392</v>
      </c>
      <c r="B245" s="77">
        <v>45748</v>
      </c>
      <c r="C245" s="76" t="s">
        <v>102</v>
      </c>
      <c r="D245" s="76" t="s">
        <v>103</v>
      </c>
      <c r="E245" s="76" t="s">
        <v>80</v>
      </c>
      <c r="F245" s="76" t="s">
        <v>81</v>
      </c>
      <c r="G245" s="76" t="s">
        <v>19</v>
      </c>
      <c r="H245" s="78">
        <v>2</v>
      </c>
      <c r="I245" s="79">
        <v>699.99</v>
      </c>
      <c r="J245" s="76" t="s">
        <v>34</v>
      </c>
      <c r="K245" s="76" t="s">
        <v>40</v>
      </c>
      <c r="L245" s="76" t="s">
        <v>36</v>
      </c>
      <c r="M245" s="77">
        <v>44618</v>
      </c>
      <c r="N245" s="79">
        <f t="shared" si="3"/>
        <v>1399.98</v>
      </c>
    </row>
    <row r="246" spans="1:14" x14ac:dyDescent="0.25">
      <c r="A246" s="72" t="s">
        <v>393</v>
      </c>
      <c r="B246" s="73">
        <v>45749</v>
      </c>
      <c r="C246" s="72" t="s">
        <v>123</v>
      </c>
      <c r="D246" s="72" t="s">
        <v>124</v>
      </c>
      <c r="E246" s="72" t="s">
        <v>61</v>
      </c>
      <c r="F246" s="72" t="s">
        <v>62</v>
      </c>
      <c r="G246" s="72" t="s">
        <v>19</v>
      </c>
      <c r="H246" s="74">
        <v>3</v>
      </c>
      <c r="I246" s="75">
        <v>899.99</v>
      </c>
      <c r="J246" s="72" t="s">
        <v>20</v>
      </c>
      <c r="K246" s="72" t="s">
        <v>21</v>
      </c>
      <c r="L246" s="72" t="s">
        <v>36</v>
      </c>
      <c r="M246" s="73">
        <v>44953</v>
      </c>
      <c r="N246" s="75">
        <f t="shared" si="3"/>
        <v>2699.9700000000003</v>
      </c>
    </row>
    <row r="247" spans="1:14" x14ac:dyDescent="0.25">
      <c r="A247" s="76" t="s">
        <v>394</v>
      </c>
      <c r="B247" s="77">
        <v>45755</v>
      </c>
      <c r="C247" s="76" t="s">
        <v>93</v>
      </c>
      <c r="D247" s="76" t="s">
        <v>94</v>
      </c>
      <c r="E247" s="76" t="s">
        <v>114</v>
      </c>
      <c r="F247" s="76" t="s">
        <v>115</v>
      </c>
      <c r="G247" s="76" t="s">
        <v>33</v>
      </c>
      <c r="H247" s="78">
        <v>3</v>
      </c>
      <c r="I247" s="79">
        <v>79.989999999999995</v>
      </c>
      <c r="J247" s="76" t="s">
        <v>26</v>
      </c>
      <c r="K247" s="76" t="s">
        <v>40</v>
      </c>
      <c r="L247" s="76" t="s">
        <v>22</v>
      </c>
      <c r="M247" s="77">
        <v>44511</v>
      </c>
      <c r="N247" s="79">
        <f t="shared" si="3"/>
        <v>239.96999999999997</v>
      </c>
    </row>
    <row r="248" spans="1:14" x14ac:dyDescent="0.25">
      <c r="A248" s="72" t="s">
        <v>395</v>
      </c>
      <c r="B248" s="73">
        <v>45756</v>
      </c>
      <c r="C248" s="72" t="s">
        <v>59</v>
      </c>
      <c r="D248" s="72" t="s">
        <v>60</v>
      </c>
      <c r="E248" s="72" t="s">
        <v>117</v>
      </c>
      <c r="F248" s="72" t="s">
        <v>118</v>
      </c>
      <c r="G248" s="72" t="s">
        <v>19</v>
      </c>
      <c r="H248" s="74">
        <v>1</v>
      </c>
      <c r="I248" s="75">
        <v>89.99</v>
      </c>
      <c r="J248" s="72" t="s">
        <v>57</v>
      </c>
      <c r="K248" s="72" t="s">
        <v>63</v>
      </c>
      <c r="L248" s="72" t="s">
        <v>22</v>
      </c>
      <c r="M248" s="73">
        <v>45346</v>
      </c>
      <c r="N248" s="75">
        <f t="shared" si="3"/>
        <v>89.99</v>
      </c>
    </row>
    <row r="249" spans="1:14" x14ac:dyDescent="0.25">
      <c r="A249" s="76" t="s">
        <v>396</v>
      </c>
      <c r="B249" s="77">
        <v>45758</v>
      </c>
      <c r="C249" s="76" t="s">
        <v>293</v>
      </c>
      <c r="D249" s="76" t="s">
        <v>294</v>
      </c>
      <c r="E249" s="76" t="s">
        <v>80</v>
      </c>
      <c r="F249" s="76" t="s">
        <v>81</v>
      </c>
      <c r="G249" s="76" t="s">
        <v>19</v>
      </c>
      <c r="H249" s="78">
        <v>3</v>
      </c>
      <c r="I249" s="79">
        <v>699.99</v>
      </c>
      <c r="J249" s="76" t="s">
        <v>34</v>
      </c>
      <c r="K249" s="76" t="s">
        <v>40</v>
      </c>
      <c r="L249" s="76" t="s">
        <v>22</v>
      </c>
      <c r="M249" s="77">
        <v>44909</v>
      </c>
      <c r="N249" s="79">
        <f t="shared" si="3"/>
        <v>2099.9700000000003</v>
      </c>
    </row>
    <row r="250" spans="1:14" x14ac:dyDescent="0.25">
      <c r="A250" s="72" t="s">
        <v>397</v>
      </c>
      <c r="B250" s="73">
        <v>45758</v>
      </c>
      <c r="C250" s="72" t="s">
        <v>226</v>
      </c>
      <c r="D250" s="72" t="s">
        <v>227</v>
      </c>
      <c r="E250" s="72" t="s">
        <v>117</v>
      </c>
      <c r="F250" s="72" t="s">
        <v>118</v>
      </c>
      <c r="G250" s="72" t="s">
        <v>19</v>
      </c>
      <c r="H250" s="74">
        <v>2</v>
      </c>
      <c r="I250" s="75">
        <v>89.99</v>
      </c>
      <c r="J250" s="72" t="s">
        <v>57</v>
      </c>
      <c r="K250" s="72" t="s">
        <v>63</v>
      </c>
      <c r="L250" s="72" t="s">
        <v>22</v>
      </c>
      <c r="M250" s="73">
        <v>45088</v>
      </c>
      <c r="N250" s="75">
        <f t="shared" si="3"/>
        <v>179.98</v>
      </c>
    </row>
    <row r="251" spans="1:14" x14ac:dyDescent="0.25">
      <c r="A251" s="76" t="s">
        <v>398</v>
      </c>
      <c r="B251" s="77">
        <v>45758</v>
      </c>
      <c r="C251" s="76" t="s">
        <v>138</v>
      </c>
      <c r="D251" s="76" t="s">
        <v>139</v>
      </c>
      <c r="E251" s="76" t="s">
        <v>117</v>
      </c>
      <c r="F251" s="76" t="s">
        <v>118</v>
      </c>
      <c r="G251" s="76" t="s">
        <v>19</v>
      </c>
      <c r="H251" s="78">
        <v>3</v>
      </c>
      <c r="I251" s="79">
        <v>89.99</v>
      </c>
      <c r="J251" s="76" t="s">
        <v>57</v>
      </c>
      <c r="K251" s="76" t="s">
        <v>40</v>
      </c>
      <c r="L251" s="76" t="s">
        <v>27</v>
      </c>
      <c r="M251" s="77">
        <v>44878</v>
      </c>
      <c r="N251" s="79">
        <f t="shared" si="3"/>
        <v>269.96999999999997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063ED-D6E0-4EE1-98D1-3E1A7FD7FCA1}">
  <dimension ref="A1:AC61"/>
  <sheetViews>
    <sheetView topLeftCell="B1" workbookViewId="0">
      <selection activeCell="H10" sqref="H10"/>
    </sheetView>
  </sheetViews>
  <sheetFormatPr defaultRowHeight="15" x14ac:dyDescent="0.25"/>
  <cols>
    <col min="1" max="1" width="17.7109375" customWidth="1"/>
    <col min="2" max="2" width="14.5703125" customWidth="1"/>
    <col min="3" max="3" width="17.28515625" customWidth="1"/>
    <col min="4" max="4" width="19" customWidth="1"/>
    <col min="5" max="5" width="16" customWidth="1"/>
    <col min="6" max="6" width="17.5703125" customWidth="1"/>
    <col min="7" max="7" width="17" customWidth="1"/>
    <col min="8" max="8" width="15.42578125" customWidth="1"/>
    <col min="9" max="9" width="14.5703125" customWidth="1"/>
    <col min="10" max="10" width="20.5703125" customWidth="1"/>
    <col min="11" max="11" width="15" customWidth="1"/>
    <col min="12" max="12" width="21.42578125" customWidth="1"/>
    <col min="13" max="13" width="21.28515625" customWidth="1"/>
    <col min="14" max="14" width="23.140625" customWidth="1"/>
    <col min="16" max="16" width="16.7109375" customWidth="1"/>
    <col min="17" max="17" width="13.140625" customWidth="1"/>
    <col min="18" max="18" width="15" customWidth="1"/>
    <col min="19" max="19" width="19.42578125" customWidth="1"/>
    <col min="20" max="20" width="14.7109375" customWidth="1"/>
    <col min="21" max="21" width="16.140625" customWidth="1"/>
    <col min="22" max="22" width="15" customWidth="1"/>
    <col min="23" max="23" width="13.28515625" customWidth="1"/>
    <col min="24" max="24" width="17.140625" customWidth="1"/>
    <col min="25" max="25" width="19.140625" customWidth="1"/>
    <col min="26" max="26" width="13.7109375" customWidth="1"/>
    <col min="27" max="27" width="19.42578125" customWidth="1"/>
    <col min="28" max="28" width="17.42578125" customWidth="1"/>
    <col min="29" max="29" width="15.85546875" customWidth="1"/>
  </cols>
  <sheetData>
    <row r="1" spans="1:29" ht="31.5" x14ac:dyDescent="0.6">
      <c r="A1" s="90" t="s">
        <v>403</v>
      </c>
      <c r="B1" s="90"/>
      <c r="C1" s="90"/>
      <c r="D1" s="90"/>
      <c r="E1" s="90"/>
      <c r="F1" s="90"/>
      <c r="G1" s="90"/>
      <c r="H1" s="90"/>
      <c r="I1" s="90"/>
      <c r="J1" s="90"/>
      <c r="K1" s="90"/>
      <c r="L1" s="90"/>
      <c r="M1" s="90"/>
      <c r="N1" s="90"/>
      <c r="O1" s="27"/>
      <c r="P1" s="90" t="s">
        <v>404</v>
      </c>
      <c r="Q1" s="90"/>
      <c r="R1" s="90"/>
      <c r="S1" s="90"/>
      <c r="T1" s="90"/>
      <c r="U1" s="90"/>
      <c r="V1" s="90"/>
      <c r="W1" s="90"/>
      <c r="X1" s="90"/>
      <c r="Y1" s="90"/>
      <c r="Z1" s="90"/>
      <c r="AA1" s="90"/>
      <c r="AB1" s="90"/>
      <c r="AC1" s="90"/>
    </row>
    <row r="2" spans="1:29" ht="15.75" x14ac:dyDescent="0.25">
      <c r="A2" s="20" t="s">
        <v>0</v>
      </c>
      <c r="B2" s="21" t="s">
        <v>1</v>
      </c>
      <c r="C2" s="20" t="s">
        <v>2</v>
      </c>
      <c r="D2" s="20" t="s">
        <v>3</v>
      </c>
      <c r="E2" s="20" t="s">
        <v>4</v>
      </c>
      <c r="F2" s="20" t="s">
        <v>5</v>
      </c>
      <c r="G2" s="20" t="s">
        <v>6</v>
      </c>
      <c r="H2" s="23" t="s">
        <v>7</v>
      </c>
      <c r="I2" s="25" t="s">
        <v>8</v>
      </c>
      <c r="J2" s="20" t="s">
        <v>9</v>
      </c>
      <c r="K2" s="20" t="s">
        <v>10</v>
      </c>
      <c r="L2" s="20" t="s">
        <v>11</v>
      </c>
      <c r="M2" s="21" t="s">
        <v>12</v>
      </c>
      <c r="N2" s="25" t="s">
        <v>13</v>
      </c>
      <c r="O2" s="27"/>
      <c r="P2" s="20" t="s">
        <v>0</v>
      </c>
      <c r="Q2" s="21" t="s">
        <v>1</v>
      </c>
      <c r="R2" s="20" t="s">
        <v>2</v>
      </c>
      <c r="S2" s="20" t="s">
        <v>3</v>
      </c>
      <c r="T2" s="20" t="s">
        <v>4</v>
      </c>
      <c r="U2" s="20" t="s">
        <v>5</v>
      </c>
      <c r="V2" s="20" t="s">
        <v>6</v>
      </c>
      <c r="W2" s="23" t="s">
        <v>7</v>
      </c>
      <c r="X2" s="25" t="s">
        <v>8</v>
      </c>
      <c r="Y2" s="20" t="s">
        <v>9</v>
      </c>
      <c r="Z2" s="20" t="s">
        <v>10</v>
      </c>
      <c r="AA2" s="20" t="s">
        <v>11</v>
      </c>
      <c r="AB2" s="21" t="s">
        <v>12</v>
      </c>
      <c r="AC2" s="25" t="s">
        <v>13</v>
      </c>
    </row>
    <row r="3" spans="1:29" x14ac:dyDescent="0.25">
      <c r="A3" s="19" t="str" cm="1">
        <f t="array" ref="A3:N61">_xlfn._xlws.FILTER('Data Intelligence Dashboard'!A2:N251,'Data Intelligence Dashboard'!K2:K251="North")</f>
        <v>TRX0043</v>
      </c>
      <c r="B3" s="22">
        <v>45400</v>
      </c>
      <c r="C3" s="19" t="str">
        <v>CUST046</v>
      </c>
      <c r="D3" s="19" t="str">
        <v>Kathleen Bennett</v>
      </c>
      <c r="E3" s="19" t="str">
        <v>P005</v>
      </c>
      <c r="F3" s="19" t="str">
        <v>Blender</v>
      </c>
      <c r="G3" s="19" t="str">
        <v>Appliances</v>
      </c>
      <c r="H3" s="24">
        <v>3</v>
      </c>
      <c r="I3" s="26">
        <v>59.99</v>
      </c>
      <c r="J3" s="19" t="str">
        <v>Cash</v>
      </c>
      <c r="K3" s="28" t="str">
        <v>North</v>
      </c>
      <c r="L3" s="19" t="str">
        <v>Premium</v>
      </c>
      <c r="M3" s="22">
        <v>45114</v>
      </c>
      <c r="N3" s="30">
        <v>179.97</v>
      </c>
      <c r="O3" s="27"/>
      <c r="P3" s="19" t="str" cm="1">
        <f t="array" ref="P3:AC44">_xlfn._xlws.FILTER('Data Intelligence Dashboard'!A2:N251,'Data Intelligence Dashboard'!K2:K251="SOUTH")</f>
        <v>TRX0139</v>
      </c>
      <c r="Q3" s="22">
        <v>45399</v>
      </c>
      <c r="R3" s="19" t="str">
        <v>CUST021</v>
      </c>
      <c r="S3" s="19" t="str">
        <v>Kevin Scott</v>
      </c>
      <c r="T3" s="19" t="str">
        <v>P005</v>
      </c>
      <c r="U3" s="19" t="str">
        <v>Blender</v>
      </c>
      <c r="V3" s="19" t="str">
        <v>Appliances</v>
      </c>
      <c r="W3" s="24">
        <v>3</v>
      </c>
      <c r="X3" s="26">
        <v>59.99</v>
      </c>
      <c r="Y3" s="19" t="str">
        <v>PayPal</v>
      </c>
      <c r="Z3" s="28" t="str">
        <v>South</v>
      </c>
      <c r="AA3" s="19" t="str">
        <v>Standard</v>
      </c>
      <c r="AB3" s="22">
        <v>45262</v>
      </c>
      <c r="AC3" s="30">
        <v>179.97</v>
      </c>
    </row>
    <row r="4" spans="1:29" x14ac:dyDescent="0.25">
      <c r="A4" s="19" t="str">
        <v>TRX0212</v>
      </c>
      <c r="B4" s="22">
        <v>45400</v>
      </c>
      <c r="C4" s="19" t="str">
        <v>CUST003</v>
      </c>
      <c r="D4" s="19" t="str">
        <v>Michael Brown</v>
      </c>
      <c r="E4" s="19" t="str">
        <v>P008</v>
      </c>
      <c r="F4" s="19" t="str">
        <v>Bookshelf</v>
      </c>
      <c r="G4" s="19" t="str">
        <v>Furniture</v>
      </c>
      <c r="H4" s="24">
        <v>5</v>
      </c>
      <c r="I4" s="26">
        <v>149.99</v>
      </c>
      <c r="J4" s="19" t="str">
        <v>Credit Card</v>
      </c>
      <c r="K4" s="28" t="str">
        <v>North</v>
      </c>
      <c r="L4" s="19" t="str">
        <v>Premium</v>
      </c>
      <c r="M4" s="22">
        <v>45295</v>
      </c>
      <c r="N4" s="30">
        <v>749.95</v>
      </c>
      <c r="O4" s="27"/>
      <c r="P4" s="19" t="str">
        <v>TRX0240</v>
      </c>
      <c r="Q4" s="22">
        <v>45403</v>
      </c>
      <c r="R4" s="19" t="str">
        <v>CUST017</v>
      </c>
      <c r="S4" s="19" t="str">
        <v>Charles Allen</v>
      </c>
      <c r="T4" s="19" t="str">
        <v>P005</v>
      </c>
      <c r="U4" s="19" t="str">
        <v>Blender</v>
      </c>
      <c r="V4" s="19" t="str">
        <v>Appliances</v>
      </c>
      <c r="W4" s="24">
        <v>3</v>
      </c>
      <c r="X4" s="26">
        <v>59.99</v>
      </c>
      <c r="Y4" s="19" t="str">
        <v>Debit Card</v>
      </c>
      <c r="Z4" s="28" t="str">
        <v>South</v>
      </c>
      <c r="AA4" s="19" t="str">
        <v>Basic</v>
      </c>
      <c r="AB4" s="22">
        <v>45007</v>
      </c>
      <c r="AC4" s="30">
        <v>179.97</v>
      </c>
    </row>
    <row r="5" spans="1:29" x14ac:dyDescent="0.25">
      <c r="A5" s="19" t="str">
        <v>TRX0209</v>
      </c>
      <c r="B5" s="22">
        <v>45408</v>
      </c>
      <c r="C5" s="19" t="str">
        <v>CUST046</v>
      </c>
      <c r="D5" s="19" t="str">
        <v>Kathleen Bennett</v>
      </c>
      <c r="E5" s="19" t="str">
        <v>P008</v>
      </c>
      <c r="F5" s="19" t="str">
        <v>Bookshelf</v>
      </c>
      <c r="G5" s="19" t="str">
        <v>Furniture</v>
      </c>
      <c r="H5" s="24">
        <v>5</v>
      </c>
      <c r="I5" s="26">
        <v>149.99</v>
      </c>
      <c r="J5" s="19" t="str">
        <v>Debit Card</v>
      </c>
      <c r="K5" s="28" t="str">
        <v>North</v>
      </c>
      <c r="L5" s="19" t="str">
        <v>Basic</v>
      </c>
      <c r="M5" s="22">
        <v>44830</v>
      </c>
      <c r="N5" s="30">
        <v>749.95</v>
      </c>
      <c r="O5" s="27"/>
      <c r="P5" s="19" t="str">
        <v>TRX0029</v>
      </c>
      <c r="Q5" s="22">
        <v>45427</v>
      </c>
      <c r="R5" s="19" t="str">
        <v>CUST017</v>
      </c>
      <c r="S5" s="19" t="str">
        <v>Charles Allen</v>
      </c>
      <c r="T5" s="19" t="str">
        <v>P006</v>
      </c>
      <c r="U5" s="19" t="str">
        <v>Office Chair</v>
      </c>
      <c r="V5" s="19" t="str">
        <v>Furniture</v>
      </c>
      <c r="W5" s="24">
        <v>5</v>
      </c>
      <c r="X5" s="26">
        <v>199.99</v>
      </c>
      <c r="Y5" s="19" t="str">
        <v>Cash</v>
      </c>
      <c r="Z5" s="28" t="str">
        <v>South</v>
      </c>
      <c r="AA5" s="19" t="str">
        <v>Standard</v>
      </c>
      <c r="AB5" s="22">
        <v>44412</v>
      </c>
      <c r="AC5" s="30">
        <v>999.95</v>
      </c>
    </row>
    <row r="6" spans="1:29" x14ac:dyDescent="0.25">
      <c r="A6" s="19" t="str">
        <v>TRX0246</v>
      </c>
      <c r="B6" s="22">
        <v>45408</v>
      </c>
      <c r="C6" s="19" t="str">
        <v>CUST041</v>
      </c>
      <c r="D6" s="19" t="str">
        <v>Peter Richardson</v>
      </c>
      <c r="E6" s="19" t="str">
        <v>P008</v>
      </c>
      <c r="F6" s="19" t="str">
        <v>Bookshelf</v>
      </c>
      <c r="G6" s="19" t="str">
        <v>Furniture</v>
      </c>
      <c r="H6" s="24">
        <v>3</v>
      </c>
      <c r="I6" s="26">
        <v>149.99</v>
      </c>
      <c r="J6" s="19" t="str">
        <v>Cash</v>
      </c>
      <c r="K6" s="28" t="str">
        <v>North</v>
      </c>
      <c r="L6" s="19" t="str">
        <v>Premium</v>
      </c>
      <c r="M6" s="22">
        <v>44806</v>
      </c>
      <c r="N6" s="30">
        <v>449.97</v>
      </c>
      <c r="O6" s="27"/>
      <c r="P6" s="19" t="str">
        <v>TRX0021</v>
      </c>
      <c r="Q6" s="22">
        <v>45435</v>
      </c>
      <c r="R6" s="19" t="str">
        <v>CUST006</v>
      </c>
      <c r="S6" s="19" t="str">
        <v>Lisa Anderson</v>
      </c>
      <c r="T6" s="19" t="str">
        <v>P004</v>
      </c>
      <c r="U6" s="19" t="str">
        <v>Coffee Maker</v>
      </c>
      <c r="V6" s="19" t="str">
        <v>Appliances</v>
      </c>
      <c r="W6" s="24">
        <v>3</v>
      </c>
      <c r="X6" s="26">
        <v>79.989999999999995</v>
      </c>
      <c r="Y6" s="19" t="str">
        <v>Cash</v>
      </c>
      <c r="Z6" s="28" t="str">
        <v>South</v>
      </c>
      <c r="AA6" s="19" t="str">
        <v>Basic</v>
      </c>
      <c r="AB6" s="22">
        <v>45046</v>
      </c>
      <c r="AC6" s="30">
        <v>239.96999999999997</v>
      </c>
    </row>
    <row r="7" spans="1:29" x14ac:dyDescent="0.25">
      <c r="A7" s="19" t="str">
        <v>TRX0067</v>
      </c>
      <c r="B7" s="22">
        <v>45409</v>
      </c>
      <c r="C7" s="19" t="str">
        <v>CUST043</v>
      </c>
      <c r="D7" s="19" t="str">
        <v>Dennis Gray</v>
      </c>
      <c r="E7" s="19" t="str">
        <v>P005</v>
      </c>
      <c r="F7" s="19" t="str">
        <v>Blender</v>
      </c>
      <c r="G7" s="19" t="str">
        <v>Appliances</v>
      </c>
      <c r="H7" s="24">
        <v>3</v>
      </c>
      <c r="I7" s="26">
        <v>59.99</v>
      </c>
      <c r="J7" s="19" t="str">
        <v>Credit Card</v>
      </c>
      <c r="K7" s="28" t="str">
        <v>North</v>
      </c>
      <c r="L7" s="19" t="str">
        <v>Standard</v>
      </c>
      <c r="M7" s="22">
        <v>45351</v>
      </c>
      <c r="N7" s="30">
        <v>179.97</v>
      </c>
      <c r="O7" s="27"/>
      <c r="P7" s="19" t="str">
        <v>TRX0121</v>
      </c>
      <c r="Q7" s="22">
        <v>45449</v>
      </c>
      <c r="R7" s="19" t="str">
        <v>CUST028</v>
      </c>
      <c r="S7" s="19" t="str">
        <v>Betty Campbell</v>
      </c>
      <c r="T7" s="19" t="str">
        <v>P010</v>
      </c>
      <c r="U7" s="19" t="str">
        <v>Keyboard</v>
      </c>
      <c r="V7" s="19" t="str">
        <v>Electronics</v>
      </c>
      <c r="W7" s="24">
        <v>1</v>
      </c>
      <c r="X7" s="26">
        <v>89.99</v>
      </c>
      <c r="Y7" s="19" t="str">
        <v>Credit Card</v>
      </c>
      <c r="Z7" s="28" t="str">
        <v>South</v>
      </c>
      <c r="AA7" s="19" t="str">
        <v>Standard</v>
      </c>
      <c r="AB7" s="22">
        <v>44582</v>
      </c>
      <c r="AC7" s="30">
        <v>89.99</v>
      </c>
    </row>
    <row r="8" spans="1:29" x14ac:dyDescent="0.25">
      <c r="A8" s="19" t="str">
        <v>TRX0230</v>
      </c>
      <c r="B8" s="22">
        <v>45409</v>
      </c>
      <c r="C8" s="19" t="str">
        <v>CUST027</v>
      </c>
      <c r="D8" s="19" t="str">
        <v>George Adams</v>
      </c>
      <c r="E8" s="19" t="str">
        <v>P001</v>
      </c>
      <c r="F8" s="19" t="str">
        <v>Laptop</v>
      </c>
      <c r="G8" s="19" t="str">
        <v>Electronics</v>
      </c>
      <c r="H8" s="24">
        <v>1</v>
      </c>
      <c r="I8" s="26">
        <v>899.99</v>
      </c>
      <c r="J8" s="19" t="str">
        <v>Debit Card</v>
      </c>
      <c r="K8" s="28" t="str">
        <v>North</v>
      </c>
      <c r="L8" s="19" t="str">
        <v>Standard</v>
      </c>
      <c r="M8" s="22">
        <v>44920</v>
      </c>
      <c r="N8" s="30">
        <v>899.99</v>
      </c>
      <c r="O8" s="27"/>
      <c r="P8" s="19" t="str">
        <v>TRX0115</v>
      </c>
      <c r="Q8" s="22">
        <v>45459</v>
      </c>
      <c r="R8" s="19" t="str">
        <v>CUST012</v>
      </c>
      <c r="S8" s="19" t="str">
        <v>Patricia Moore</v>
      </c>
      <c r="T8" s="19" t="str">
        <v>P010</v>
      </c>
      <c r="U8" s="19" t="str">
        <v>Keyboard</v>
      </c>
      <c r="V8" s="19" t="str">
        <v>Electronics</v>
      </c>
      <c r="W8" s="24">
        <v>2</v>
      </c>
      <c r="X8" s="26">
        <v>89.99</v>
      </c>
      <c r="Y8" s="19" t="str">
        <v>Credit Card</v>
      </c>
      <c r="Z8" s="28" t="str">
        <v>South</v>
      </c>
      <c r="AA8" s="19" t="str">
        <v>Premium</v>
      </c>
      <c r="AB8" s="22">
        <v>44471</v>
      </c>
      <c r="AC8" s="30">
        <v>179.98</v>
      </c>
    </row>
    <row r="9" spans="1:29" x14ac:dyDescent="0.25">
      <c r="A9" s="19" t="str">
        <v>TRX0049</v>
      </c>
      <c r="B9" s="22">
        <v>45410</v>
      </c>
      <c r="C9" s="19" t="str">
        <v>CUST025</v>
      </c>
      <c r="D9" s="19" t="str">
        <v>Mark Carter</v>
      </c>
      <c r="E9" s="19" t="str">
        <v>P008</v>
      </c>
      <c r="F9" s="19" t="str">
        <v>Bookshelf</v>
      </c>
      <c r="G9" s="19" t="str">
        <v>Furniture</v>
      </c>
      <c r="H9" s="24">
        <v>4</v>
      </c>
      <c r="I9" s="26">
        <v>149.99</v>
      </c>
      <c r="J9" s="19" t="str">
        <v>Debit Card</v>
      </c>
      <c r="K9" s="28" t="str">
        <v>North</v>
      </c>
      <c r="L9" s="19" t="str">
        <v>Premium</v>
      </c>
      <c r="M9" s="22">
        <v>45374</v>
      </c>
      <c r="N9" s="30">
        <v>599.96</v>
      </c>
      <c r="O9" s="27"/>
      <c r="P9" s="19" t="str">
        <v>TRX0154</v>
      </c>
      <c r="Q9" s="22">
        <v>45459</v>
      </c>
      <c r="R9" s="19" t="str">
        <v>CUST023</v>
      </c>
      <c r="S9" s="19" t="str">
        <v>Paul Baker</v>
      </c>
      <c r="T9" s="19" t="str">
        <v>P001</v>
      </c>
      <c r="U9" s="19" t="str">
        <v>Laptop</v>
      </c>
      <c r="V9" s="19" t="str">
        <v>Electronics</v>
      </c>
      <c r="W9" s="24">
        <v>5</v>
      </c>
      <c r="X9" s="26">
        <v>899.99</v>
      </c>
      <c r="Y9" s="19" t="str">
        <v>Credit Card</v>
      </c>
      <c r="Z9" s="28" t="str">
        <v>South</v>
      </c>
      <c r="AA9" s="19" t="str">
        <v>Standard</v>
      </c>
      <c r="AB9" s="22">
        <v>44974</v>
      </c>
      <c r="AC9" s="32">
        <v>4499.95</v>
      </c>
    </row>
    <row r="10" spans="1:29" x14ac:dyDescent="0.25">
      <c r="A10" s="19" t="str">
        <v>TRX0134</v>
      </c>
      <c r="B10" s="22">
        <v>45410</v>
      </c>
      <c r="C10" s="19" t="str">
        <v>CUST010</v>
      </c>
      <c r="D10" s="19" t="str">
        <v>Maria Garcia</v>
      </c>
      <c r="E10" s="19" t="str">
        <v>P002</v>
      </c>
      <c r="F10" s="19" t="str">
        <v>Smartphone</v>
      </c>
      <c r="G10" s="19" t="str">
        <v>Electronics</v>
      </c>
      <c r="H10" s="24">
        <v>2</v>
      </c>
      <c r="I10" s="26">
        <v>699.99</v>
      </c>
      <c r="J10" s="19" t="str">
        <v>Cash</v>
      </c>
      <c r="K10" s="28" t="str">
        <v>North</v>
      </c>
      <c r="L10" s="19" t="str">
        <v>Basic</v>
      </c>
      <c r="M10" s="22">
        <v>44781</v>
      </c>
      <c r="N10" s="29">
        <v>1399.98</v>
      </c>
      <c r="O10" s="27"/>
      <c r="P10" s="19" t="str">
        <v>TRX0025</v>
      </c>
      <c r="Q10" s="22">
        <v>45468</v>
      </c>
      <c r="R10" s="19" t="str">
        <v>CUST049</v>
      </c>
      <c r="S10" s="19" t="str">
        <v>Raymond Ross</v>
      </c>
      <c r="T10" s="19" t="str">
        <v>P010</v>
      </c>
      <c r="U10" s="19" t="str">
        <v>Keyboard</v>
      </c>
      <c r="V10" s="19" t="str">
        <v>Electronics</v>
      </c>
      <c r="W10" s="24">
        <v>4</v>
      </c>
      <c r="X10" s="26">
        <v>89.99</v>
      </c>
      <c r="Y10" s="19" t="str">
        <v>Debit Card</v>
      </c>
      <c r="Z10" s="28" t="str">
        <v>South</v>
      </c>
      <c r="AA10" s="19" t="str">
        <v>Basic</v>
      </c>
      <c r="AB10" s="22">
        <v>45281</v>
      </c>
      <c r="AC10" s="30">
        <v>359.96</v>
      </c>
    </row>
    <row r="11" spans="1:29" x14ac:dyDescent="0.25">
      <c r="A11" s="19" t="str">
        <v>TRX0222</v>
      </c>
      <c r="B11" s="22">
        <v>45410</v>
      </c>
      <c r="C11" s="19" t="str">
        <v>CUST048</v>
      </c>
      <c r="D11" s="19" t="str">
        <v>Virginia Sanders</v>
      </c>
      <c r="E11" s="19" t="str">
        <v>P009</v>
      </c>
      <c r="F11" s="19" t="str">
        <v>Monitor</v>
      </c>
      <c r="G11" s="19" t="str">
        <v>Electronics</v>
      </c>
      <c r="H11" s="24">
        <v>3</v>
      </c>
      <c r="I11" s="26">
        <v>249.99</v>
      </c>
      <c r="J11" s="19" t="str">
        <v>Credit Card</v>
      </c>
      <c r="K11" s="28" t="str">
        <v>North</v>
      </c>
      <c r="L11" s="19" t="str">
        <v>Premium</v>
      </c>
      <c r="M11" s="22">
        <v>45224</v>
      </c>
      <c r="N11" s="30">
        <v>749.97</v>
      </c>
      <c r="O11" s="27"/>
      <c r="P11" s="19" t="str">
        <v>TRX0052</v>
      </c>
      <c r="Q11" s="22">
        <v>45476</v>
      </c>
      <c r="R11" s="19" t="str">
        <v>CUST022</v>
      </c>
      <c r="S11" s="19" t="str">
        <v>Susan Green</v>
      </c>
      <c r="T11" s="19" t="str">
        <v>P010</v>
      </c>
      <c r="U11" s="19" t="str">
        <v>Keyboard</v>
      </c>
      <c r="V11" s="19" t="str">
        <v>Electronics</v>
      </c>
      <c r="W11" s="24">
        <v>1</v>
      </c>
      <c r="X11" s="26">
        <v>89.99</v>
      </c>
      <c r="Y11" s="19" t="str">
        <v>Cash</v>
      </c>
      <c r="Z11" s="28" t="str">
        <v>South</v>
      </c>
      <c r="AA11" s="19" t="str">
        <v>Standard</v>
      </c>
      <c r="AB11" s="22">
        <v>44611</v>
      </c>
      <c r="AC11" s="30">
        <v>89.99</v>
      </c>
    </row>
    <row r="12" spans="1:29" x14ac:dyDescent="0.25">
      <c r="A12" s="19" t="str">
        <v>TRX0204</v>
      </c>
      <c r="B12" s="22">
        <v>45415</v>
      </c>
      <c r="C12" s="19" t="str">
        <v>CUST044</v>
      </c>
      <c r="D12" s="19" t="str">
        <v>Cynthia Price</v>
      </c>
      <c r="E12" s="19" t="str">
        <v>P009</v>
      </c>
      <c r="F12" s="19" t="str">
        <v>Monitor</v>
      </c>
      <c r="G12" s="19" t="str">
        <v>Electronics</v>
      </c>
      <c r="H12" s="24">
        <v>4</v>
      </c>
      <c r="I12" s="26">
        <v>249.99</v>
      </c>
      <c r="J12" s="19" t="str">
        <v>PayPal</v>
      </c>
      <c r="K12" s="28" t="str">
        <v>North</v>
      </c>
      <c r="L12" s="19" t="str">
        <v>Standard</v>
      </c>
      <c r="M12" s="22">
        <v>44468</v>
      </c>
      <c r="N12" s="30">
        <v>999.96</v>
      </c>
      <c r="O12" s="27"/>
      <c r="P12" s="19" t="str">
        <v>TRX0136</v>
      </c>
      <c r="Q12" s="22">
        <v>45482</v>
      </c>
      <c r="R12" s="19" t="str">
        <v>CUST049</v>
      </c>
      <c r="S12" s="19" t="str">
        <v>Raymond Ross</v>
      </c>
      <c r="T12" s="19" t="str">
        <v>P005</v>
      </c>
      <c r="U12" s="19" t="str">
        <v>Blender</v>
      </c>
      <c r="V12" s="19" t="str">
        <v>Appliances</v>
      </c>
      <c r="W12" s="24">
        <v>4</v>
      </c>
      <c r="X12" s="26">
        <v>59.99</v>
      </c>
      <c r="Y12" s="19" t="str">
        <v>Cash</v>
      </c>
      <c r="Z12" s="28" t="str">
        <v>South</v>
      </c>
      <c r="AA12" s="19" t="str">
        <v>Standard</v>
      </c>
      <c r="AB12" s="22">
        <v>44509</v>
      </c>
      <c r="AC12" s="30">
        <v>239.96</v>
      </c>
    </row>
    <row r="13" spans="1:29" x14ac:dyDescent="0.25">
      <c r="A13" s="19" t="str">
        <v>TRX0004</v>
      </c>
      <c r="B13" s="22">
        <v>45424</v>
      </c>
      <c r="C13" s="19" t="str">
        <v>CUST012</v>
      </c>
      <c r="D13" s="19" t="str">
        <v>Patricia Moore</v>
      </c>
      <c r="E13" s="19" t="str">
        <v>P010</v>
      </c>
      <c r="F13" s="19" t="str">
        <v>Keyboard</v>
      </c>
      <c r="G13" s="19" t="str">
        <v>Electronics</v>
      </c>
      <c r="H13" s="24">
        <v>5</v>
      </c>
      <c r="I13" s="26">
        <v>89.99</v>
      </c>
      <c r="J13" s="19" t="str">
        <v>Cash</v>
      </c>
      <c r="K13" s="28" t="str">
        <v>North</v>
      </c>
      <c r="L13" s="19" t="str">
        <v>Premium</v>
      </c>
      <c r="M13" s="22">
        <v>44919</v>
      </c>
      <c r="N13" s="30">
        <v>449.95</v>
      </c>
      <c r="O13" s="27"/>
      <c r="P13" s="19" t="str">
        <v>TRX0244</v>
      </c>
      <c r="Q13" s="22">
        <v>45497</v>
      </c>
      <c r="R13" s="19" t="str">
        <v>CUST013</v>
      </c>
      <c r="S13" s="19" t="str">
        <v>Joseph Jackson</v>
      </c>
      <c r="T13" s="19" t="str">
        <v>P001</v>
      </c>
      <c r="U13" s="19" t="str">
        <v>Laptop</v>
      </c>
      <c r="V13" s="19" t="str">
        <v>Electronics</v>
      </c>
      <c r="W13" s="24">
        <v>5</v>
      </c>
      <c r="X13" s="26">
        <v>899.99</v>
      </c>
      <c r="Y13" s="19" t="str">
        <v>Debit Card</v>
      </c>
      <c r="Z13" s="28" t="str">
        <v>South</v>
      </c>
      <c r="AA13" s="19" t="str">
        <v>Standard</v>
      </c>
      <c r="AB13" s="22">
        <v>44899</v>
      </c>
      <c r="AC13" s="32">
        <v>4499.95</v>
      </c>
    </row>
    <row r="14" spans="1:29" x14ac:dyDescent="0.25">
      <c r="A14" s="19" t="str">
        <v>TRX0245</v>
      </c>
      <c r="B14" s="22">
        <v>45438</v>
      </c>
      <c r="C14" s="19" t="str">
        <v>CUST031</v>
      </c>
      <c r="D14" s="19" t="str">
        <v>Steven Turner</v>
      </c>
      <c r="E14" s="19" t="str">
        <v>P006</v>
      </c>
      <c r="F14" s="19" t="str">
        <v>Office Chair</v>
      </c>
      <c r="G14" s="19" t="str">
        <v>Furniture</v>
      </c>
      <c r="H14" s="24">
        <v>3</v>
      </c>
      <c r="I14" s="26">
        <v>199.99</v>
      </c>
      <c r="J14" s="19" t="str">
        <v>Credit Card</v>
      </c>
      <c r="K14" s="28" t="str">
        <v>North</v>
      </c>
      <c r="L14" s="19" t="str">
        <v>Premium</v>
      </c>
      <c r="M14" s="22">
        <v>45292</v>
      </c>
      <c r="N14" s="30">
        <v>599.97</v>
      </c>
      <c r="O14" s="27"/>
      <c r="P14" s="19" t="str">
        <v>TRX0228</v>
      </c>
      <c r="Q14" s="22">
        <v>45500</v>
      </c>
      <c r="R14" s="19" t="str">
        <v>CUST019</v>
      </c>
      <c r="S14" s="19" t="str">
        <v>Daniel King</v>
      </c>
      <c r="T14" s="19" t="str">
        <v>P007</v>
      </c>
      <c r="U14" s="19" t="str">
        <v>Desk</v>
      </c>
      <c r="V14" s="19" t="str">
        <v>Furniture</v>
      </c>
      <c r="W14" s="24">
        <v>1</v>
      </c>
      <c r="X14" s="26">
        <v>299.99</v>
      </c>
      <c r="Y14" s="19" t="str">
        <v>Cash</v>
      </c>
      <c r="Z14" s="28" t="str">
        <v>South</v>
      </c>
      <c r="AA14" s="19" t="str">
        <v>Basic</v>
      </c>
      <c r="AB14" s="22">
        <v>44982</v>
      </c>
      <c r="AC14" s="30">
        <v>299.99</v>
      </c>
    </row>
    <row r="15" spans="1:29" x14ac:dyDescent="0.25">
      <c r="A15" s="19" t="str">
        <v>TRX0042</v>
      </c>
      <c r="B15" s="22">
        <v>45443</v>
      </c>
      <c r="C15" s="19" t="str">
        <v>CUST019</v>
      </c>
      <c r="D15" s="19" t="str">
        <v>Daniel King</v>
      </c>
      <c r="E15" s="19" t="str">
        <v>P004</v>
      </c>
      <c r="F15" s="19" t="str">
        <v>Coffee Maker</v>
      </c>
      <c r="G15" s="19" t="str">
        <v>Appliances</v>
      </c>
      <c r="H15" s="24">
        <v>1</v>
      </c>
      <c r="I15" s="26">
        <v>79.989999999999995</v>
      </c>
      <c r="J15" s="19" t="str">
        <v>Cash</v>
      </c>
      <c r="K15" s="28" t="str">
        <v>North</v>
      </c>
      <c r="L15" s="19" t="str">
        <v>Standard</v>
      </c>
      <c r="M15" s="22">
        <v>44917</v>
      </c>
      <c r="N15" s="30">
        <v>79.989999999999995</v>
      </c>
      <c r="O15" s="27"/>
      <c r="P15" s="19" t="str">
        <v>TRX0157</v>
      </c>
      <c r="Q15" s="22">
        <v>45501</v>
      </c>
      <c r="R15" s="19" t="str">
        <v>CUST025</v>
      </c>
      <c r="S15" s="19" t="str">
        <v>Mark Carter</v>
      </c>
      <c r="T15" s="19" t="str">
        <v>P010</v>
      </c>
      <c r="U15" s="19" t="str">
        <v>Keyboard</v>
      </c>
      <c r="V15" s="19" t="str">
        <v>Electronics</v>
      </c>
      <c r="W15" s="24">
        <v>2</v>
      </c>
      <c r="X15" s="26">
        <v>89.99</v>
      </c>
      <c r="Y15" s="19" t="str">
        <v>PayPal</v>
      </c>
      <c r="Z15" s="28" t="str">
        <v>South</v>
      </c>
      <c r="AA15" s="19" t="str">
        <v>Basic</v>
      </c>
      <c r="AB15" s="22">
        <v>44976</v>
      </c>
      <c r="AC15" s="30">
        <v>179.98</v>
      </c>
    </row>
    <row r="16" spans="1:29" x14ac:dyDescent="0.25">
      <c r="A16" s="19" t="str">
        <v>TRX0117</v>
      </c>
      <c r="B16" s="22">
        <v>45444</v>
      </c>
      <c r="C16" s="19" t="str">
        <v>CUST017</v>
      </c>
      <c r="D16" s="19" t="str">
        <v>Charles Allen</v>
      </c>
      <c r="E16" s="19" t="str">
        <v>P010</v>
      </c>
      <c r="F16" s="19" t="str">
        <v>Keyboard</v>
      </c>
      <c r="G16" s="19" t="str">
        <v>Electronics</v>
      </c>
      <c r="H16" s="24">
        <v>1</v>
      </c>
      <c r="I16" s="26">
        <v>89.99</v>
      </c>
      <c r="J16" s="19" t="str">
        <v>Cash</v>
      </c>
      <c r="K16" s="28" t="str">
        <v>North</v>
      </c>
      <c r="L16" s="19" t="str">
        <v>Basic</v>
      </c>
      <c r="M16" s="22">
        <v>45141</v>
      </c>
      <c r="N16" s="30">
        <v>89.99</v>
      </c>
      <c r="O16" s="27"/>
      <c r="P16" s="19" t="str">
        <v>TRX0249</v>
      </c>
      <c r="Q16" s="22">
        <v>45504</v>
      </c>
      <c r="R16" s="19" t="str">
        <v>CUST030</v>
      </c>
      <c r="S16" s="19" t="str">
        <v>Helen Roberts</v>
      </c>
      <c r="T16" s="19" t="str">
        <v>P001</v>
      </c>
      <c r="U16" s="19" t="str">
        <v>Laptop</v>
      </c>
      <c r="V16" s="19" t="str">
        <v>Electronics</v>
      </c>
      <c r="W16" s="24">
        <v>4</v>
      </c>
      <c r="X16" s="26">
        <v>899.99</v>
      </c>
      <c r="Y16" s="19" t="str">
        <v>Debit Card</v>
      </c>
      <c r="Z16" s="28" t="str">
        <v>South</v>
      </c>
      <c r="AA16" s="19" t="str">
        <v>Standard</v>
      </c>
      <c r="AB16" s="22">
        <v>44523</v>
      </c>
      <c r="AC16" s="32">
        <v>3599.96</v>
      </c>
    </row>
    <row r="17" spans="1:29" x14ac:dyDescent="0.25">
      <c r="A17" s="19" t="str">
        <v>TRX0086</v>
      </c>
      <c r="B17" s="22">
        <v>45481</v>
      </c>
      <c r="C17" s="19" t="str">
        <v>CUST020</v>
      </c>
      <c r="D17" s="19" t="str">
        <v>Margaret Wright</v>
      </c>
      <c r="E17" s="19" t="str">
        <v>P008</v>
      </c>
      <c r="F17" s="19" t="str">
        <v>Bookshelf</v>
      </c>
      <c r="G17" s="19" t="str">
        <v>Furniture</v>
      </c>
      <c r="H17" s="24">
        <v>1</v>
      </c>
      <c r="I17" s="26">
        <v>149.99</v>
      </c>
      <c r="J17" s="19" t="str">
        <v>PayPal</v>
      </c>
      <c r="K17" s="28" t="str">
        <v>North</v>
      </c>
      <c r="L17" s="19" t="str">
        <v>Basic</v>
      </c>
      <c r="M17" s="22">
        <v>44421</v>
      </c>
      <c r="N17" s="30">
        <v>149.99</v>
      </c>
      <c r="O17" s="27"/>
      <c r="P17" s="19" t="str">
        <v>TRX0020</v>
      </c>
      <c r="Q17" s="22">
        <v>45517</v>
      </c>
      <c r="R17" s="19" t="str">
        <v>CUST007</v>
      </c>
      <c r="S17" s="19" t="str">
        <v>David Martinez</v>
      </c>
      <c r="T17" s="19" t="str">
        <v>P003</v>
      </c>
      <c r="U17" s="19" t="str">
        <v>Headphones</v>
      </c>
      <c r="V17" s="19" t="str">
        <v>Electronics</v>
      </c>
      <c r="W17" s="24">
        <v>4</v>
      </c>
      <c r="X17" s="26">
        <v>149.99</v>
      </c>
      <c r="Y17" s="19" t="str">
        <v>Debit Card</v>
      </c>
      <c r="Z17" s="28" t="str">
        <v>South</v>
      </c>
      <c r="AA17" s="19" t="str">
        <v>Premium</v>
      </c>
      <c r="AB17" s="22">
        <v>44820</v>
      </c>
      <c r="AC17" s="30">
        <v>599.96</v>
      </c>
    </row>
    <row r="18" spans="1:29" x14ac:dyDescent="0.25">
      <c r="A18" s="19" t="str">
        <v>TRX0114</v>
      </c>
      <c r="B18" s="22">
        <v>45481</v>
      </c>
      <c r="C18" s="19" t="str">
        <v>CUST018</v>
      </c>
      <c r="D18" s="19" t="str">
        <v>Barbara Young</v>
      </c>
      <c r="E18" s="19" t="str">
        <v>P010</v>
      </c>
      <c r="F18" s="19" t="str">
        <v>Keyboard</v>
      </c>
      <c r="G18" s="19" t="str">
        <v>Electronics</v>
      </c>
      <c r="H18" s="24">
        <v>5</v>
      </c>
      <c r="I18" s="26">
        <v>89.99</v>
      </c>
      <c r="J18" s="19" t="str">
        <v>Debit Card</v>
      </c>
      <c r="K18" s="28" t="str">
        <v>North</v>
      </c>
      <c r="L18" s="19" t="str">
        <v>Premium</v>
      </c>
      <c r="M18" s="22">
        <v>45161</v>
      </c>
      <c r="N18" s="30">
        <v>449.95</v>
      </c>
      <c r="O18" s="27"/>
      <c r="P18" s="19" t="str">
        <v>TRX0037</v>
      </c>
      <c r="Q18" s="22">
        <v>45528</v>
      </c>
      <c r="R18" s="19" t="str">
        <v>CUST035</v>
      </c>
      <c r="S18" s="19" t="str">
        <v>Harry Morgan</v>
      </c>
      <c r="T18" s="19" t="str">
        <v>P009</v>
      </c>
      <c r="U18" s="19" t="str">
        <v>Monitor</v>
      </c>
      <c r="V18" s="19" t="str">
        <v>Electronics</v>
      </c>
      <c r="W18" s="24">
        <v>2</v>
      </c>
      <c r="X18" s="26">
        <v>249.99</v>
      </c>
      <c r="Y18" s="19" t="str">
        <v>Cash</v>
      </c>
      <c r="Z18" s="28" t="str">
        <v>South</v>
      </c>
      <c r="AA18" s="19" t="str">
        <v>Standard</v>
      </c>
      <c r="AB18" s="22">
        <v>44572</v>
      </c>
      <c r="AC18" s="30">
        <v>499.98</v>
      </c>
    </row>
    <row r="19" spans="1:29" x14ac:dyDescent="0.25">
      <c r="A19" s="19" t="str">
        <v>TRX0141</v>
      </c>
      <c r="B19" s="22">
        <v>45484</v>
      </c>
      <c r="C19" s="19" t="str">
        <v>CUST033</v>
      </c>
      <c r="D19" s="19" t="str">
        <v>Frank Torres</v>
      </c>
      <c r="E19" s="19" t="str">
        <v>P007</v>
      </c>
      <c r="F19" s="19" t="str">
        <v>Desk</v>
      </c>
      <c r="G19" s="19" t="str">
        <v>Furniture</v>
      </c>
      <c r="H19" s="24">
        <v>1</v>
      </c>
      <c r="I19" s="26">
        <v>299.99</v>
      </c>
      <c r="J19" s="19" t="str">
        <v>Credit Card</v>
      </c>
      <c r="K19" s="28" t="str">
        <v>North</v>
      </c>
      <c r="L19" s="19" t="str">
        <v>Premium</v>
      </c>
      <c r="M19" s="22">
        <v>44891</v>
      </c>
      <c r="N19" s="30">
        <v>299.99</v>
      </c>
      <c r="O19" s="27"/>
      <c r="P19" s="19" t="str">
        <v>TRX0211</v>
      </c>
      <c r="Q19" s="22">
        <v>45548</v>
      </c>
      <c r="R19" s="19" t="str">
        <v>CUST046</v>
      </c>
      <c r="S19" s="19" t="str">
        <v>Kathleen Bennett</v>
      </c>
      <c r="T19" s="19" t="str">
        <v>P010</v>
      </c>
      <c r="U19" s="19" t="str">
        <v>Keyboard</v>
      </c>
      <c r="V19" s="19" t="str">
        <v>Electronics</v>
      </c>
      <c r="W19" s="24">
        <v>2</v>
      </c>
      <c r="X19" s="26">
        <v>89.99</v>
      </c>
      <c r="Y19" s="19" t="str">
        <v>Credit Card</v>
      </c>
      <c r="Z19" s="28" t="str">
        <v>South</v>
      </c>
      <c r="AA19" s="19" t="str">
        <v>Premium</v>
      </c>
      <c r="AB19" s="22">
        <v>44641</v>
      </c>
      <c r="AC19" s="30">
        <v>179.98</v>
      </c>
    </row>
    <row r="20" spans="1:29" x14ac:dyDescent="0.25">
      <c r="A20" s="19" t="str">
        <v>TRX0097</v>
      </c>
      <c r="B20" s="22">
        <v>45487</v>
      </c>
      <c r="C20" s="19" t="str">
        <v>CUST033</v>
      </c>
      <c r="D20" s="19" t="str">
        <v>Frank Torres</v>
      </c>
      <c r="E20" s="19" t="str">
        <v>P006</v>
      </c>
      <c r="F20" s="19" t="str">
        <v>Office Chair</v>
      </c>
      <c r="G20" s="19" t="str">
        <v>Furniture</v>
      </c>
      <c r="H20" s="24">
        <v>2</v>
      </c>
      <c r="I20" s="26">
        <v>199.99</v>
      </c>
      <c r="J20" s="19" t="str">
        <v>Cash</v>
      </c>
      <c r="K20" s="28" t="str">
        <v>North</v>
      </c>
      <c r="L20" s="19" t="str">
        <v>Basic</v>
      </c>
      <c r="M20" s="22">
        <v>44541</v>
      </c>
      <c r="N20" s="30">
        <v>399.98</v>
      </c>
      <c r="O20" s="27"/>
      <c r="P20" s="19" t="str">
        <v>TRX0195</v>
      </c>
      <c r="Q20" s="22">
        <v>45551</v>
      </c>
      <c r="R20" s="19" t="str">
        <v>CUST026</v>
      </c>
      <c r="S20" s="19" t="str">
        <v>Karen Hill</v>
      </c>
      <c r="T20" s="19" t="str">
        <v>P009</v>
      </c>
      <c r="U20" s="19" t="str">
        <v>Monitor</v>
      </c>
      <c r="V20" s="19" t="str">
        <v>Electronics</v>
      </c>
      <c r="W20" s="24">
        <v>2</v>
      </c>
      <c r="X20" s="26">
        <v>249.99</v>
      </c>
      <c r="Y20" s="19" t="str">
        <v>PayPal</v>
      </c>
      <c r="Z20" s="28" t="str">
        <v>South</v>
      </c>
      <c r="AA20" s="19" t="str">
        <v>Basic</v>
      </c>
      <c r="AB20" s="22">
        <v>44993</v>
      </c>
      <c r="AC20" s="30">
        <v>499.98</v>
      </c>
    </row>
    <row r="21" spans="1:29" x14ac:dyDescent="0.25">
      <c r="A21" s="19" t="str">
        <v>TRX0131</v>
      </c>
      <c r="B21" s="22">
        <v>45491</v>
      </c>
      <c r="C21" s="19" t="str">
        <v>CUST026</v>
      </c>
      <c r="D21" s="19" t="str">
        <v>Karen Hill</v>
      </c>
      <c r="E21" s="19" t="str">
        <v>P006</v>
      </c>
      <c r="F21" s="19" t="str">
        <v>Office Chair</v>
      </c>
      <c r="G21" s="19" t="str">
        <v>Furniture</v>
      </c>
      <c r="H21" s="24">
        <v>3</v>
      </c>
      <c r="I21" s="26">
        <v>199.99</v>
      </c>
      <c r="J21" s="19" t="str">
        <v>Cash</v>
      </c>
      <c r="K21" s="28" t="str">
        <v>North</v>
      </c>
      <c r="L21" s="19" t="str">
        <v>Premium</v>
      </c>
      <c r="M21" s="22">
        <v>45254</v>
      </c>
      <c r="N21" s="30">
        <v>599.97</v>
      </c>
      <c r="O21" s="27"/>
      <c r="P21" s="19" t="str">
        <v>TRX0123</v>
      </c>
      <c r="Q21" s="22">
        <v>45554</v>
      </c>
      <c r="R21" s="19" t="str">
        <v>CUST041</v>
      </c>
      <c r="S21" s="19" t="str">
        <v>Peter Richardson</v>
      </c>
      <c r="T21" s="19" t="str">
        <v>P002</v>
      </c>
      <c r="U21" s="19" t="str">
        <v>Smartphone</v>
      </c>
      <c r="V21" s="19" t="str">
        <v>Electronics</v>
      </c>
      <c r="W21" s="24">
        <v>4</v>
      </c>
      <c r="X21" s="26">
        <v>699.99</v>
      </c>
      <c r="Y21" s="19" t="str">
        <v>PayPal</v>
      </c>
      <c r="Z21" s="28" t="str">
        <v>South</v>
      </c>
      <c r="AA21" s="19" t="str">
        <v>Basic</v>
      </c>
      <c r="AB21" s="22">
        <v>44618</v>
      </c>
      <c r="AC21" s="29">
        <v>2799.96</v>
      </c>
    </row>
    <row r="22" spans="1:29" x14ac:dyDescent="0.25">
      <c r="A22" s="19" t="str">
        <v>TRX0006</v>
      </c>
      <c r="B22" s="22">
        <v>45498</v>
      </c>
      <c r="C22" s="19" t="str">
        <v>CUST007</v>
      </c>
      <c r="D22" s="19" t="str">
        <v>David Martinez</v>
      </c>
      <c r="E22" s="19" t="str">
        <v>P005</v>
      </c>
      <c r="F22" s="19" t="str">
        <v>Blender</v>
      </c>
      <c r="G22" s="19" t="str">
        <v>Appliances</v>
      </c>
      <c r="H22" s="24">
        <v>2</v>
      </c>
      <c r="I22" s="26">
        <v>59.99</v>
      </c>
      <c r="J22" s="19" t="str">
        <v>Cash</v>
      </c>
      <c r="K22" s="28" t="str">
        <v>North</v>
      </c>
      <c r="L22" s="19" t="str">
        <v>Standard</v>
      </c>
      <c r="M22" s="22">
        <v>45152</v>
      </c>
      <c r="N22" s="30">
        <v>119.98</v>
      </c>
      <c r="O22" s="27"/>
      <c r="P22" s="19" t="str">
        <v>TRX0218</v>
      </c>
      <c r="Q22" s="22">
        <v>45573</v>
      </c>
      <c r="R22" s="19" t="str">
        <v>CUST034</v>
      </c>
      <c r="S22" s="19" t="str">
        <v>Carol Evans</v>
      </c>
      <c r="T22" s="19" t="str">
        <v>P008</v>
      </c>
      <c r="U22" s="19" t="str">
        <v>Bookshelf</v>
      </c>
      <c r="V22" s="19" t="str">
        <v>Furniture</v>
      </c>
      <c r="W22" s="24">
        <v>3</v>
      </c>
      <c r="X22" s="26">
        <v>149.99</v>
      </c>
      <c r="Y22" s="19" t="str">
        <v>Credit Card</v>
      </c>
      <c r="Z22" s="28" t="str">
        <v>South</v>
      </c>
      <c r="AA22" s="19" t="str">
        <v>Standard</v>
      </c>
      <c r="AB22" s="22">
        <v>44940</v>
      </c>
      <c r="AC22" s="30">
        <v>449.97</v>
      </c>
    </row>
    <row r="23" spans="1:29" x14ac:dyDescent="0.25">
      <c r="A23" s="19" t="str">
        <v>TRX0080</v>
      </c>
      <c r="B23" s="22">
        <v>45500</v>
      </c>
      <c r="C23" s="19" t="str">
        <v>CUST018</v>
      </c>
      <c r="D23" s="19" t="str">
        <v>Barbara Young</v>
      </c>
      <c r="E23" s="19" t="str">
        <v>P009</v>
      </c>
      <c r="F23" s="19" t="str">
        <v>Monitor</v>
      </c>
      <c r="G23" s="19" t="str">
        <v>Electronics</v>
      </c>
      <c r="H23" s="24">
        <v>2</v>
      </c>
      <c r="I23" s="26">
        <v>249.99</v>
      </c>
      <c r="J23" s="19" t="str">
        <v>Cash</v>
      </c>
      <c r="K23" s="28" t="str">
        <v>North</v>
      </c>
      <c r="L23" s="19" t="str">
        <v>Premium</v>
      </c>
      <c r="M23" s="22">
        <v>45164</v>
      </c>
      <c r="N23" s="30">
        <v>499.98</v>
      </c>
      <c r="O23" s="27"/>
      <c r="P23" s="19" t="str">
        <v>TRX0057</v>
      </c>
      <c r="Q23" s="22">
        <v>45597</v>
      </c>
      <c r="R23" s="19" t="str">
        <v>CUST023</v>
      </c>
      <c r="S23" s="19" t="str">
        <v>Paul Baker</v>
      </c>
      <c r="T23" s="19" t="str">
        <v>P009</v>
      </c>
      <c r="U23" s="19" t="str">
        <v>Monitor</v>
      </c>
      <c r="V23" s="19" t="str">
        <v>Electronics</v>
      </c>
      <c r="W23" s="24">
        <v>5</v>
      </c>
      <c r="X23" s="26">
        <v>249.99</v>
      </c>
      <c r="Y23" s="19" t="str">
        <v>Credit Card</v>
      </c>
      <c r="Z23" s="28" t="str">
        <v>South</v>
      </c>
      <c r="AA23" s="19" t="str">
        <v>Standard</v>
      </c>
      <c r="AB23" s="22">
        <v>44881</v>
      </c>
      <c r="AC23" s="30">
        <v>1249.95</v>
      </c>
    </row>
    <row r="24" spans="1:29" x14ac:dyDescent="0.25">
      <c r="A24" s="19" t="str">
        <v>TRX0217</v>
      </c>
      <c r="B24" s="22">
        <v>45503</v>
      </c>
      <c r="C24" s="19" t="str">
        <v>CUST025</v>
      </c>
      <c r="D24" s="19" t="str">
        <v>Mark Carter</v>
      </c>
      <c r="E24" s="19" t="str">
        <v>P002</v>
      </c>
      <c r="F24" s="19" t="str">
        <v>Smartphone</v>
      </c>
      <c r="G24" s="19" t="str">
        <v>Electronics</v>
      </c>
      <c r="H24" s="24">
        <v>2</v>
      </c>
      <c r="I24" s="26">
        <v>699.99</v>
      </c>
      <c r="J24" s="19" t="str">
        <v>Credit Card</v>
      </c>
      <c r="K24" s="28" t="str">
        <v>North</v>
      </c>
      <c r="L24" s="19" t="str">
        <v>Premium</v>
      </c>
      <c r="M24" s="22">
        <v>44999</v>
      </c>
      <c r="N24" s="29">
        <v>1399.98</v>
      </c>
      <c r="O24" s="27"/>
      <c r="P24" s="19" t="str">
        <v>TRX0017</v>
      </c>
      <c r="Q24" s="22">
        <v>45600</v>
      </c>
      <c r="R24" s="19" t="str">
        <v>CUST026</v>
      </c>
      <c r="S24" s="19" t="str">
        <v>Karen Hill</v>
      </c>
      <c r="T24" s="19" t="str">
        <v>P007</v>
      </c>
      <c r="U24" s="19" t="str">
        <v>Desk</v>
      </c>
      <c r="V24" s="19" t="str">
        <v>Furniture</v>
      </c>
      <c r="W24" s="24">
        <v>3</v>
      </c>
      <c r="X24" s="26">
        <v>299.99</v>
      </c>
      <c r="Y24" s="19" t="str">
        <v>Credit Card</v>
      </c>
      <c r="Z24" s="28" t="str">
        <v>South</v>
      </c>
      <c r="AA24" s="19" t="str">
        <v>Standard</v>
      </c>
      <c r="AB24" s="22">
        <v>44502</v>
      </c>
      <c r="AC24" s="30">
        <v>899.97</v>
      </c>
    </row>
    <row r="25" spans="1:29" x14ac:dyDescent="0.25">
      <c r="A25" s="19" t="str">
        <v>TRX0101</v>
      </c>
      <c r="B25" s="22">
        <v>45513</v>
      </c>
      <c r="C25" s="19" t="str">
        <v>CUST010</v>
      </c>
      <c r="D25" s="19" t="str">
        <v>Maria Garcia</v>
      </c>
      <c r="E25" s="19" t="str">
        <v>P010</v>
      </c>
      <c r="F25" s="19" t="str">
        <v>Keyboard</v>
      </c>
      <c r="G25" s="19" t="str">
        <v>Electronics</v>
      </c>
      <c r="H25" s="24">
        <v>1</v>
      </c>
      <c r="I25" s="26">
        <v>89.99</v>
      </c>
      <c r="J25" s="19" t="str">
        <v>Credit Card</v>
      </c>
      <c r="K25" s="28" t="str">
        <v>North</v>
      </c>
      <c r="L25" s="19" t="str">
        <v>Standard</v>
      </c>
      <c r="M25" s="22">
        <v>45393</v>
      </c>
      <c r="N25" s="30">
        <v>89.99</v>
      </c>
      <c r="O25" s="27"/>
      <c r="P25" s="19" t="str">
        <v>TRX0149</v>
      </c>
      <c r="Q25" s="22">
        <v>45608</v>
      </c>
      <c r="R25" s="19" t="str">
        <v>CUST027</v>
      </c>
      <c r="S25" s="19" t="str">
        <v>George Adams</v>
      </c>
      <c r="T25" s="19" t="str">
        <v>P005</v>
      </c>
      <c r="U25" s="19" t="str">
        <v>Blender</v>
      </c>
      <c r="V25" s="19" t="str">
        <v>Appliances</v>
      </c>
      <c r="W25" s="24">
        <v>3</v>
      </c>
      <c r="X25" s="26">
        <v>59.99</v>
      </c>
      <c r="Y25" s="19" t="str">
        <v>Debit Card</v>
      </c>
      <c r="Z25" s="28" t="str">
        <v>South</v>
      </c>
      <c r="AA25" s="19" t="str">
        <v>Standard</v>
      </c>
      <c r="AB25" s="22">
        <v>45260</v>
      </c>
      <c r="AC25" s="30">
        <v>179.97</v>
      </c>
    </row>
    <row r="26" spans="1:29" x14ac:dyDescent="0.25">
      <c r="A26" s="19" t="str">
        <v>TRX0205</v>
      </c>
      <c r="B26" s="22">
        <v>45515</v>
      </c>
      <c r="C26" s="19" t="str">
        <v>CUST025</v>
      </c>
      <c r="D26" s="19" t="str">
        <v>Mark Carter</v>
      </c>
      <c r="E26" s="19" t="str">
        <v>P007</v>
      </c>
      <c r="F26" s="19" t="str">
        <v>Desk</v>
      </c>
      <c r="G26" s="19" t="str">
        <v>Furniture</v>
      </c>
      <c r="H26" s="24">
        <v>5</v>
      </c>
      <c r="I26" s="26">
        <v>299.99</v>
      </c>
      <c r="J26" s="19" t="str">
        <v>Credit Card</v>
      </c>
      <c r="K26" s="28" t="str">
        <v>North</v>
      </c>
      <c r="L26" s="19" t="str">
        <v>Basic</v>
      </c>
      <c r="M26" s="22">
        <v>44965</v>
      </c>
      <c r="N26" s="29">
        <v>1499.95</v>
      </c>
      <c r="O26" s="27"/>
      <c r="P26" s="19" t="str">
        <v>TRX0206</v>
      </c>
      <c r="Q26" s="22">
        <v>45623</v>
      </c>
      <c r="R26" s="19" t="str">
        <v>CUST014</v>
      </c>
      <c r="S26" s="19" t="str">
        <v>Linda Martin</v>
      </c>
      <c r="T26" s="19" t="str">
        <v>P008</v>
      </c>
      <c r="U26" s="19" t="str">
        <v>Bookshelf</v>
      </c>
      <c r="V26" s="19" t="str">
        <v>Furniture</v>
      </c>
      <c r="W26" s="24">
        <v>2</v>
      </c>
      <c r="X26" s="26">
        <v>149.99</v>
      </c>
      <c r="Y26" s="19" t="str">
        <v>Cash</v>
      </c>
      <c r="Z26" s="28" t="str">
        <v>South</v>
      </c>
      <c r="AA26" s="19" t="str">
        <v>Standard</v>
      </c>
      <c r="AB26" s="22">
        <v>45101</v>
      </c>
      <c r="AC26" s="30">
        <v>299.98</v>
      </c>
    </row>
    <row r="27" spans="1:29" x14ac:dyDescent="0.25">
      <c r="A27" s="19" t="str">
        <v>TRX0098</v>
      </c>
      <c r="B27" s="22">
        <v>45517</v>
      </c>
      <c r="C27" s="19" t="str">
        <v>CUST026</v>
      </c>
      <c r="D27" s="19" t="str">
        <v>Karen Hill</v>
      </c>
      <c r="E27" s="19" t="str">
        <v>P009</v>
      </c>
      <c r="F27" s="19" t="str">
        <v>Monitor</v>
      </c>
      <c r="G27" s="19" t="str">
        <v>Electronics</v>
      </c>
      <c r="H27" s="24">
        <v>3</v>
      </c>
      <c r="I27" s="26">
        <v>249.99</v>
      </c>
      <c r="J27" s="19" t="str">
        <v>PayPal</v>
      </c>
      <c r="K27" s="28" t="str">
        <v>North</v>
      </c>
      <c r="L27" s="19" t="str">
        <v>Premium</v>
      </c>
      <c r="M27" s="22">
        <v>44465</v>
      </c>
      <c r="N27" s="30">
        <v>749.97</v>
      </c>
      <c r="O27" s="27"/>
      <c r="P27" s="19" t="str">
        <v>TRX0045</v>
      </c>
      <c r="Q27" s="22">
        <v>45627</v>
      </c>
      <c r="R27" s="19" t="str">
        <v>CUST021</v>
      </c>
      <c r="S27" s="19" t="str">
        <v>Kevin Scott</v>
      </c>
      <c r="T27" s="19" t="str">
        <v>P007</v>
      </c>
      <c r="U27" s="19" t="str">
        <v>Desk</v>
      </c>
      <c r="V27" s="19" t="str">
        <v>Furniture</v>
      </c>
      <c r="W27" s="24">
        <v>3</v>
      </c>
      <c r="X27" s="26">
        <v>299.99</v>
      </c>
      <c r="Y27" s="19" t="str">
        <v>Cash</v>
      </c>
      <c r="Z27" s="28" t="str">
        <v>South</v>
      </c>
      <c r="AA27" s="19" t="str">
        <v>Premium</v>
      </c>
      <c r="AB27" s="22">
        <v>44659</v>
      </c>
      <c r="AC27" s="30">
        <v>899.97</v>
      </c>
    </row>
    <row r="28" spans="1:29" x14ac:dyDescent="0.25">
      <c r="A28" s="19" t="str">
        <v>TRX0247</v>
      </c>
      <c r="B28" s="22">
        <v>45517</v>
      </c>
      <c r="C28" s="19" t="str">
        <v>CUST046</v>
      </c>
      <c r="D28" s="19" t="str">
        <v>Kathleen Bennett</v>
      </c>
      <c r="E28" s="19" t="str">
        <v>P006</v>
      </c>
      <c r="F28" s="19" t="str">
        <v>Office Chair</v>
      </c>
      <c r="G28" s="19" t="str">
        <v>Furniture</v>
      </c>
      <c r="H28" s="24">
        <v>4</v>
      </c>
      <c r="I28" s="26">
        <v>199.99</v>
      </c>
      <c r="J28" s="19" t="str">
        <v>Cash</v>
      </c>
      <c r="K28" s="28" t="str">
        <v>North</v>
      </c>
      <c r="L28" s="19" t="str">
        <v>Standard</v>
      </c>
      <c r="M28" s="22">
        <v>44458</v>
      </c>
      <c r="N28" s="30">
        <v>799.96</v>
      </c>
      <c r="O28" s="27"/>
      <c r="P28" s="19" t="str">
        <v>TRX0133</v>
      </c>
      <c r="Q28" s="22">
        <v>45627</v>
      </c>
      <c r="R28" s="19" t="str">
        <v>CUST013</v>
      </c>
      <c r="S28" s="19" t="str">
        <v>Joseph Jackson</v>
      </c>
      <c r="T28" s="19" t="str">
        <v>P003</v>
      </c>
      <c r="U28" s="19" t="str">
        <v>Headphones</v>
      </c>
      <c r="V28" s="19" t="str">
        <v>Electronics</v>
      </c>
      <c r="W28" s="24">
        <v>2</v>
      </c>
      <c r="X28" s="26">
        <v>149.99</v>
      </c>
      <c r="Y28" s="19" t="str">
        <v>Cash</v>
      </c>
      <c r="Z28" s="28" t="str">
        <v>South</v>
      </c>
      <c r="AA28" s="19" t="str">
        <v>Premium</v>
      </c>
      <c r="AB28" s="22">
        <v>44475</v>
      </c>
      <c r="AC28" s="30">
        <v>299.98</v>
      </c>
    </row>
    <row r="29" spans="1:29" x14ac:dyDescent="0.25">
      <c r="A29" s="19" t="str">
        <v>TRX0027</v>
      </c>
      <c r="B29" s="22">
        <v>45519</v>
      </c>
      <c r="C29" s="19" t="str">
        <v>CUST028</v>
      </c>
      <c r="D29" s="19" t="str">
        <v>Betty Campbell</v>
      </c>
      <c r="E29" s="19" t="str">
        <v>P006</v>
      </c>
      <c r="F29" s="19" t="str">
        <v>Office Chair</v>
      </c>
      <c r="G29" s="19" t="str">
        <v>Furniture</v>
      </c>
      <c r="H29" s="24">
        <v>5</v>
      </c>
      <c r="I29" s="26">
        <v>199.99</v>
      </c>
      <c r="J29" s="19" t="str">
        <v>Cash</v>
      </c>
      <c r="K29" s="28" t="str">
        <v>North</v>
      </c>
      <c r="L29" s="19" t="str">
        <v>Premium</v>
      </c>
      <c r="M29" s="22">
        <v>44991</v>
      </c>
      <c r="N29" s="30">
        <v>999.95</v>
      </c>
      <c r="O29" s="27"/>
      <c r="P29" s="19" t="str">
        <v>TRX0046</v>
      </c>
      <c r="Q29" s="22">
        <v>45646</v>
      </c>
      <c r="R29" s="19" t="str">
        <v>CUST003</v>
      </c>
      <c r="S29" s="19" t="str">
        <v>Michael Brown</v>
      </c>
      <c r="T29" s="19" t="str">
        <v>P008</v>
      </c>
      <c r="U29" s="19" t="str">
        <v>Bookshelf</v>
      </c>
      <c r="V29" s="19" t="str">
        <v>Furniture</v>
      </c>
      <c r="W29" s="24">
        <v>2</v>
      </c>
      <c r="X29" s="26">
        <v>149.99</v>
      </c>
      <c r="Y29" s="19" t="str">
        <v>Cash</v>
      </c>
      <c r="Z29" s="28" t="str">
        <v>South</v>
      </c>
      <c r="AA29" s="19" t="str">
        <v>Basic</v>
      </c>
      <c r="AB29" s="22">
        <v>45239</v>
      </c>
      <c r="AC29" s="30">
        <v>299.98</v>
      </c>
    </row>
    <row r="30" spans="1:29" x14ac:dyDescent="0.25">
      <c r="A30" s="19" t="str">
        <v>TRX0248</v>
      </c>
      <c r="B30" s="22">
        <v>45534</v>
      </c>
      <c r="C30" s="19" t="str">
        <v>CUST032</v>
      </c>
      <c r="D30" s="19" t="str">
        <v>Sandra Phillips</v>
      </c>
      <c r="E30" s="19" t="str">
        <v>P002</v>
      </c>
      <c r="F30" s="19" t="str">
        <v>Smartphone</v>
      </c>
      <c r="G30" s="19" t="str">
        <v>Electronics</v>
      </c>
      <c r="H30" s="24">
        <v>2</v>
      </c>
      <c r="I30" s="26">
        <v>699.99</v>
      </c>
      <c r="J30" s="19" t="str">
        <v>Credit Card</v>
      </c>
      <c r="K30" s="28" t="str">
        <v>North</v>
      </c>
      <c r="L30" s="19" t="str">
        <v>Premium</v>
      </c>
      <c r="M30" s="22">
        <v>44421</v>
      </c>
      <c r="N30" s="29">
        <v>1399.98</v>
      </c>
      <c r="O30" s="27"/>
      <c r="P30" s="19" t="str">
        <v>TRX0171</v>
      </c>
      <c r="Q30" s="22">
        <v>45649</v>
      </c>
      <c r="R30" s="19" t="str">
        <v>CUST021</v>
      </c>
      <c r="S30" s="19" t="str">
        <v>Kevin Scott</v>
      </c>
      <c r="T30" s="19" t="str">
        <v>P007</v>
      </c>
      <c r="U30" s="19" t="str">
        <v>Desk</v>
      </c>
      <c r="V30" s="19" t="str">
        <v>Furniture</v>
      </c>
      <c r="W30" s="24">
        <v>2</v>
      </c>
      <c r="X30" s="26">
        <v>299.99</v>
      </c>
      <c r="Y30" s="19" t="str">
        <v>PayPal</v>
      </c>
      <c r="Z30" s="28" t="str">
        <v>South</v>
      </c>
      <c r="AA30" s="19" t="str">
        <v>Basic</v>
      </c>
      <c r="AB30" s="22">
        <v>44721</v>
      </c>
      <c r="AC30" s="30">
        <v>599.98</v>
      </c>
    </row>
    <row r="31" spans="1:29" x14ac:dyDescent="0.25">
      <c r="A31" s="19" t="str">
        <v>TRX0074</v>
      </c>
      <c r="B31" s="22">
        <v>45537</v>
      </c>
      <c r="C31" s="19" t="str">
        <v>CUST023</v>
      </c>
      <c r="D31" s="19" t="str">
        <v>Paul Baker</v>
      </c>
      <c r="E31" s="19" t="str">
        <v>P009</v>
      </c>
      <c r="F31" s="19" t="str">
        <v>Monitor</v>
      </c>
      <c r="G31" s="19" t="str">
        <v>Electronics</v>
      </c>
      <c r="H31" s="24">
        <v>1</v>
      </c>
      <c r="I31" s="26">
        <v>249.99</v>
      </c>
      <c r="J31" s="19" t="str">
        <v>Debit Card</v>
      </c>
      <c r="K31" s="28" t="str">
        <v>North</v>
      </c>
      <c r="L31" s="19" t="str">
        <v>Premium</v>
      </c>
      <c r="M31" s="22">
        <v>45332</v>
      </c>
      <c r="N31" s="30">
        <v>249.99</v>
      </c>
      <c r="O31" s="27"/>
      <c r="P31" s="19" t="str">
        <v>TRX0156</v>
      </c>
      <c r="Q31" s="22">
        <v>45655</v>
      </c>
      <c r="R31" s="19" t="str">
        <v>CUST009</v>
      </c>
      <c r="S31" s="19" t="str">
        <v>Robert Thomas</v>
      </c>
      <c r="T31" s="19" t="str">
        <v>P010</v>
      </c>
      <c r="U31" s="19" t="str">
        <v>Keyboard</v>
      </c>
      <c r="V31" s="19" t="str">
        <v>Electronics</v>
      </c>
      <c r="W31" s="24">
        <v>1</v>
      </c>
      <c r="X31" s="26">
        <v>89.99</v>
      </c>
      <c r="Y31" s="19" t="str">
        <v>Credit Card</v>
      </c>
      <c r="Z31" s="28" t="str">
        <v>South</v>
      </c>
      <c r="AA31" s="19" t="str">
        <v>Premium</v>
      </c>
      <c r="AB31" s="22">
        <v>44591</v>
      </c>
      <c r="AC31" s="30">
        <v>89.99</v>
      </c>
    </row>
    <row r="32" spans="1:29" x14ac:dyDescent="0.25">
      <c r="A32" s="19" t="str">
        <v>TRX0112</v>
      </c>
      <c r="B32" s="22">
        <v>45544</v>
      </c>
      <c r="C32" s="19" t="str">
        <v>CUST008</v>
      </c>
      <c r="D32" s="19" t="str">
        <v>Jennifer Taylor</v>
      </c>
      <c r="E32" s="19" t="str">
        <v>P004</v>
      </c>
      <c r="F32" s="19" t="str">
        <v>Coffee Maker</v>
      </c>
      <c r="G32" s="19" t="str">
        <v>Appliances</v>
      </c>
      <c r="H32" s="24">
        <v>4</v>
      </c>
      <c r="I32" s="26">
        <v>79.989999999999995</v>
      </c>
      <c r="J32" s="19" t="str">
        <v>Cash</v>
      </c>
      <c r="K32" s="28" t="str">
        <v>North</v>
      </c>
      <c r="L32" s="19" t="str">
        <v>Basic</v>
      </c>
      <c r="M32" s="22">
        <v>44530</v>
      </c>
      <c r="N32" s="30">
        <v>319.95999999999998</v>
      </c>
      <c r="O32" s="27"/>
      <c r="P32" s="19" t="str">
        <v>TRX0056</v>
      </c>
      <c r="Q32" s="22">
        <v>45660</v>
      </c>
      <c r="R32" s="19" t="str">
        <v>CUST019</v>
      </c>
      <c r="S32" s="19" t="str">
        <v>Daniel King</v>
      </c>
      <c r="T32" s="19" t="str">
        <v>P010</v>
      </c>
      <c r="U32" s="19" t="str">
        <v>Keyboard</v>
      </c>
      <c r="V32" s="19" t="str">
        <v>Electronics</v>
      </c>
      <c r="W32" s="24">
        <v>2</v>
      </c>
      <c r="X32" s="26">
        <v>89.99</v>
      </c>
      <c r="Y32" s="19" t="str">
        <v>Credit Card</v>
      </c>
      <c r="Z32" s="28" t="str">
        <v>South</v>
      </c>
      <c r="AA32" s="19" t="str">
        <v>Premium</v>
      </c>
      <c r="AB32" s="22">
        <v>44564</v>
      </c>
      <c r="AC32" s="30">
        <v>179.98</v>
      </c>
    </row>
    <row r="33" spans="1:29" x14ac:dyDescent="0.25">
      <c r="A33" s="19" t="str">
        <v>TRX0005</v>
      </c>
      <c r="B33" s="22">
        <v>45550</v>
      </c>
      <c r="C33" s="19" t="str">
        <v>CUST042</v>
      </c>
      <c r="D33" s="19" t="str">
        <v>Ruth Brooks</v>
      </c>
      <c r="E33" s="19" t="str">
        <v>P003</v>
      </c>
      <c r="F33" s="19" t="str">
        <v>Headphones</v>
      </c>
      <c r="G33" s="19" t="str">
        <v>Electronics</v>
      </c>
      <c r="H33" s="24">
        <v>4</v>
      </c>
      <c r="I33" s="26">
        <v>149.99</v>
      </c>
      <c r="J33" s="19" t="str">
        <v>Cash</v>
      </c>
      <c r="K33" s="28" t="str">
        <v>North</v>
      </c>
      <c r="L33" s="19" t="str">
        <v>Basic</v>
      </c>
      <c r="M33" s="22">
        <v>44909</v>
      </c>
      <c r="N33" s="30">
        <v>599.96</v>
      </c>
      <c r="O33" s="27"/>
      <c r="P33" s="19" t="str">
        <v>TRX0091</v>
      </c>
      <c r="Q33" s="22">
        <v>45663</v>
      </c>
      <c r="R33" s="19" t="str">
        <v>CUST003</v>
      </c>
      <c r="S33" s="19" t="str">
        <v>Michael Brown</v>
      </c>
      <c r="T33" s="19" t="str">
        <v>P007</v>
      </c>
      <c r="U33" s="19" t="str">
        <v>Desk</v>
      </c>
      <c r="V33" s="19" t="str">
        <v>Furniture</v>
      </c>
      <c r="W33" s="24">
        <v>3</v>
      </c>
      <c r="X33" s="26">
        <v>299.99</v>
      </c>
      <c r="Y33" s="19" t="str">
        <v>Cash</v>
      </c>
      <c r="Z33" s="28" t="str">
        <v>South</v>
      </c>
      <c r="AA33" s="19" t="str">
        <v>Standard</v>
      </c>
      <c r="AB33" s="22">
        <v>44422</v>
      </c>
      <c r="AC33" s="30">
        <v>899.97</v>
      </c>
    </row>
    <row r="34" spans="1:29" x14ac:dyDescent="0.25">
      <c r="A34" s="19" t="str">
        <v>TRX0177</v>
      </c>
      <c r="B34" s="22">
        <v>45559</v>
      </c>
      <c r="C34" s="19" t="str">
        <v>CUST032</v>
      </c>
      <c r="D34" s="19" t="str">
        <v>Sandra Phillips</v>
      </c>
      <c r="E34" s="19" t="str">
        <v>P001</v>
      </c>
      <c r="F34" s="19" t="str">
        <v>Laptop</v>
      </c>
      <c r="G34" s="19" t="str">
        <v>Electronics</v>
      </c>
      <c r="H34" s="24">
        <v>3</v>
      </c>
      <c r="I34" s="26">
        <v>899.99</v>
      </c>
      <c r="J34" s="19" t="str">
        <v>Credit Card</v>
      </c>
      <c r="K34" s="28" t="str">
        <v>North</v>
      </c>
      <c r="L34" s="19" t="str">
        <v>Standard</v>
      </c>
      <c r="M34" s="22">
        <v>45157</v>
      </c>
      <c r="N34" s="32">
        <v>2699.9700000000003</v>
      </c>
      <c r="O34" s="27"/>
      <c r="P34" s="19" t="str">
        <v>TRX0243</v>
      </c>
      <c r="Q34" s="22">
        <v>45667</v>
      </c>
      <c r="R34" s="19" t="str">
        <v>CUST048</v>
      </c>
      <c r="S34" s="19" t="str">
        <v>Virginia Sanders</v>
      </c>
      <c r="T34" s="19" t="str">
        <v>P009</v>
      </c>
      <c r="U34" s="19" t="str">
        <v>Monitor</v>
      </c>
      <c r="V34" s="19" t="str">
        <v>Electronics</v>
      </c>
      <c r="W34" s="24">
        <v>5</v>
      </c>
      <c r="X34" s="26">
        <v>249.99</v>
      </c>
      <c r="Y34" s="19" t="str">
        <v>Credit Card</v>
      </c>
      <c r="Z34" s="28" t="str">
        <v>South</v>
      </c>
      <c r="AA34" s="19" t="str">
        <v>Basic</v>
      </c>
      <c r="AB34" s="22">
        <v>45330</v>
      </c>
      <c r="AC34" s="30">
        <v>1249.95</v>
      </c>
    </row>
    <row r="35" spans="1:29" x14ac:dyDescent="0.25">
      <c r="A35" s="19" t="str">
        <v>TRX0203</v>
      </c>
      <c r="B35" s="22">
        <v>45572</v>
      </c>
      <c r="C35" s="19" t="str">
        <v>CUST032</v>
      </c>
      <c r="D35" s="19" t="str">
        <v>Sandra Phillips</v>
      </c>
      <c r="E35" s="19" t="str">
        <v>P003</v>
      </c>
      <c r="F35" s="19" t="str">
        <v>Headphones</v>
      </c>
      <c r="G35" s="19" t="str">
        <v>Electronics</v>
      </c>
      <c r="H35" s="24">
        <v>4</v>
      </c>
      <c r="I35" s="26">
        <v>149.99</v>
      </c>
      <c r="J35" s="19" t="str">
        <v>Credit Card</v>
      </c>
      <c r="K35" s="28" t="str">
        <v>North</v>
      </c>
      <c r="L35" s="19" t="str">
        <v>Premium</v>
      </c>
      <c r="M35" s="22">
        <v>45076</v>
      </c>
      <c r="N35" s="30">
        <v>599.96</v>
      </c>
      <c r="O35" s="27"/>
      <c r="P35" s="19" t="str">
        <v>TRX0102</v>
      </c>
      <c r="Q35" s="22">
        <v>45670</v>
      </c>
      <c r="R35" s="19" t="str">
        <v>CUST045</v>
      </c>
      <c r="S35" s="19" t="str">
        <v>Douglas Watson</v>
      </c>
      <c r="T35" s="19" t="str">
        <v>P004</v>
      </c>
      <c r="U35" s="19" t="str">
        <v>Coffee Maker</v>
      </c>
      <c r="V35" s="19" t="str">
        <v>Appliances</v>
      </c>
      <c r="W35" s="24">
        <v>1</v>
      </c>
      <c r="X35" s="26">
        <v>79.989999999999995</v>
      </c>
      <c r="Y35" s="19" t="str">
        <v>Credit Card</v>
      </c>
      <c r="Z35" s="28" t="str">
        <v>South</v>
      </c>
      <c r="AA35" s="19" t="str">
        <v>Basic</v>
      </c>
      <c r="AB35" s="22">
        <v>45322</v>
      </c>
      <c r="AC35" s="30">
        <v>79.989999999999995</v>
      </c>
    </row>
    <row r="36" spans="1:29" x14ac:dyDescent="0.25">
      <c r="A36" s="19" t="str">
        <v>TRX0167</v>
      </c>
      <c r="B36" s="22">
        <v>45589</v>
      </c>
      <c r="C36" s="19" t="str">
        <v>CUST028</v>
      </c>
      <c r="D36" s="19" t="str">
        <v>Betty Campbell</v>
      </c>
      <c r="E36" s="19" t="str">
        <v>P002</v>
      </c>
      <c r="F36" s="19" t="str">
        <v>Smartphone</v>
      </c>
      <c r="G36" s="19" t="str">
        <v>Electronics</v>
      </c>
      <c r="H36" s="24">
        <v>5</v>
      </c>
      <c r="I36" s="26">
        <v>699.99</v>
      </c>
      <c r="J36" s="19" t="str">
        <v>Cash</v>
      </c>
      <c r="K36" s="28" t="str">
        <v>North</v>
      </c>
      <c r="L36" s="19" t="str">
        <v>Premium</v>
      </c>
      <c r="M36" s="22">
        <v>44635</v>
      </c>
      <c r="N36" s="32">
        <v>3499.95</v>
      </c>
      <c r="O36" s="27"/>
      <c r="P36" s="19" t="str">
        <v>TRX0051</v>
      </c>
      <c r="Q36" s="22">
        <v>45671</v>
      </c>
      <c r="R36" s="19" t="str">
        <v>CUST032</v>
      </c>
      <c r="S36" s="19" t="str">
        <v>Sandra Phillips</v>
      </c>
      <c r="T36" s="19" t="str">
        <v>P007</v>
      </c>
      <c r="U36" s="19" t="str">
        <v>Desk</v>
      </c>
      <c r="V36" s="19" t="str">
        <v>Furniture</v>
      </c>
      <c r="W36" s="24">
        <v>3</v>
      </c>
      <c r="X36" s="26">
        <v>299.99</v>
      </c>
      <c r="Y36" s="19" t="str">
        <v>Credit Card</v>
      </c>
      <c r="Z36" s="28" t="str">
        <v>South</v>
      </c>
      <c r="AA36" s="19" t="str">
        <v>Basic</v>
      </c>
      <c r="AB36" s="22">
        <v>45204</v>
      </c>
      <c r="AC36" s="30">
        <v>899.97</v>
      </c>
    </row>
    <row r="37" spans="1:29" x14ac:dyDescent="0.25">
      <c r="A37" s="19" t="str">
        <v>TRX0153</v>
      </c>
      <c r="B37" s="22">
        <v>45592</v>
      </c>
      <c r="C37" s="19" t="str">
        <v>CUST049</v>
      </c>
      <c r="D37" s="19" t="str">
        <v>Raymond Ross</v>
      </c>
      <c r="E37" s="19" t="str">
        <v>P010</v>
      </c>
      <c r="F37" s="19" t="str">
        <v>Keyboard</v>
      </c>
      <c r="G37" s="19" t="str">
        <v>Electronics</v>
      </c>
      <c r="H37" s="24">
        <v>3</v>
      </c>
      <c r="I37" s="26">
        <v>89.99</v>
      </c>
      <c r="J37" s="19" t="str">
        <v>Credit Card</v>
      </c>
      <c r="K37" s="28" t="str">
        <v>North</v>
      </c>
      <c r="L37" s="19" t="str">
        <v>Standard</v>
      </c>
      <c r="M37" s="22">
        <v>44615</v>
      </c>
      <c r="N37" s="30">
        <v>269.96999999999997</v>
      </c>
      <c r="O37" s="27"/>
      <c r="P37" s="19" t="str">
        <v>TRX0106</v>
      </c>
      <c r="Q37" s="22">
        <v>45673</v>
      </c>
      <c r="R37" s="19" t="str">
        <v>CUST039</v>
      </c>
      <c r="S37" s="19" t="str">
        <v>Lawrence Reed</v>
      </c>
      <c r="T37" s="19" t="str">
        <v>P006</v>
      </c>
      <c r="U37" s="19" t="str">
        <v>Office Chair</v>
      </c>
      <c r="V37" s="19" t="str">
        <v>Furniture</v>
      </c>
      <c r="W37" s="24">
        <v>4</v>
      </c>
      <c r="X37" s="26">
        <v>199.99</v>
      </c>
      <c r="Y37" s="19" t="str">
        <v>Debit Card</v>
      </c>
      <c r="Z37" s="28" t="str">
        <v>South</v>
      </c>
      <c r="AA37" s="19" t="str">
        <v>Standard</v>
      </c>
      <c r="AB37" s="22">
        <v>44544</v>
      </c>
      <c r="AC37" s="30">
        <v>799.96</v>
      </c>
    </row>
    <row r="38" spans="1:29" x14ac:dyDescent="0.25">
      <c r="A38" s="19" t="str">
        <v>TRX0060</v>
      </c>
      <c r="B38" s="22">
        <v>45603</v>
      </c>
      <c r="C38" s="19" t="str">
        <v>CUST012</v>
      </c>
      <c r="D38" s="19" t="str">
        <v>Patricia Moore</v>
      </c>
      <c r="E38" s="19" t="str">
        <v>P010</v>
      </c>
      <c r="F38" s="19" t="str">
        <v>Keyboard</v>
      </c>
      <c r="G38" s="19" t="str">
        <v>Electronics</v>
      </c>
      <c r="H38" s="24">
        <v>3</v>
      </c>
      <c r="I38" s="26">
        <v>89.99</v>
      </c>
      <c r="J38" s="19" t="str">
        <v>Credit Card</v>
      </c>
      <c r="K38" s="28" t="str">
        <v>North</v>
      </c>
      <c r="L38" s="19" t="str">
        <v>Premium</v>
      </c>
      <c r="M38" s="22">
        <v>44420</v>
      </c>
      <c r="N38" s="30">
        <v>269.96999999999997</v>
      </c>
      <c r="O38" s="27"/>
      <c r="P38" s="19" t="str">
        <v>TRX0069</v>
      </c>
      <c r="Q38" s="22">
        <v>45688</v>
      </c>
      <c r="R38" s="19" t="str">
        <v>CUST029</v>
      </c>
      <c r="S38" s="19" t="str">
        <v>Edward Mitchell</v>
      </c>
      <c r="T38" s="19" t="str">
        <v>P010</v>
      </c>
      <c r="U38" s="19" t="str">
        <v>Keyboard</v>
      </c>
      <c r="V38" s="19" t="str">
        <v>Electronics</v>
      </c>
      <c r="W38" s="24">
        <v>2</v>
      </c>
      <c r="X38" s="26">
        <v>89.99</v>
      </c>
      <c r="Y38" s="19" t="str">
        <v>Debit Card</v>
      </c>
      <c r="Z38" s="28" t="str">
        <v>South</v>
      </c>
      <c r="AA38" s="19" t="str">
        <v>Basic</v>
      </c>
      <c r="AB38" s="22">
        <v>44777</v>
      </c>
      <c r="AC38" s="30">
        <v>179.98</v>
      </c>
    </row>
    <row r="39" spans="1:29" x14ac:dyDescent="0.25">
      <c r="A39" s="19" t="str">
        <v>TRX0090</v>
      </c>
      <c r="B39" s="22">
        <v>45605</v>
      </c>
      <c r="C39" s="19" t="str">
        <v>CUST020</v>
      </c>
      <c r="D39" s="19" t="str">
        <v>Margaret Wright</v>
      </c>
      <c r="E39" s="19" t="str">
        <v>P009</v>
      </c>
      <c r="F39" s="19" t="str">
        <v>Monitor</v>
      </c>
      <c r="G39" s="19" t="str">
        <v>Electronics</v>
      </c>
      <c r="H39" s="24">
        <v>1</v>
      </c>
      <c r="I39" s="26">
        <v>249.99</v>
      </c>
      <c r="J39" s="19" t="str">
        <v>Credit Card</v>
      </c>
      <c r="K39" s="28" t="str">
        <v>North</v>
      </c>
      <c r="L39" s="19" t="str">
        <v>Premium</v>
      </c>
      <c r="M39" s="22">
        <v>44828</v>
      </c>
      <c r="N39" s="30">
        <v>249.99</v>
      </c>
      <c r="O39" s="27"/>
      <c r="P39" s="19" t="str">
        <v>TRX0166</v>
      </c>
      <c r="Q39" s="22">
        <v>45688</v>
      </c>
      <c r="R39" s="19" t="str">
        <v>CUST003</v>
      </c>
      <c r="S39" s="19" t="str">
        <v>Michael Brown</v>
      </c>
      <c r="T39" s="19" t="str">
        <v>P010</v>
      </c>
      <c r="U39" s="19" t="str">
        <v>Keyboard</v>
      </c>
      <c r="V39" s="19" t="str">
        <v>Electronics</v>
      </c>
      <c r="W39" s="24">
        <v>3</v>
      </c>
      <c r="X39" s="26">
        <v>89.99</v>
      </c>
      <c r="Y39" s="19" t="str">
        <v>Debit Card</v>
      </c>
      <c r="Z39" s="28" t="str">
        <v>South</v>
      </c>
      <c r="AA39" s="19" t="str">
        <v>Premium</v>
      </c>
      <c r="AB39" s="22">
        <v>45307</v>
      </c>
      <c r="AC39" s="30">
        <v>269.96999999999997</v>
      </c>
    </row>
    <row r="40" spans="1:29" x14ac:dyDescent="0.25">
      <c r="A40" s="19" t="str">
        <v>TRX0035</v>
      </c>
      <c r="B40" s="22">
        <v>45607</v>
      </c>
      <c r="C40" s="19" t="str">
        <v>CUST041</v>
      </c>
      <c r="D40" s="19" t="str">
        <v>Peter Richardson</v>
      </c>
      <c r="E40" s="19" t="str">
        <v>P003</v>
      </c>
      <c r="F40" s="19" t="str">
        <v>Headphones</v>
      </c>
      <c r="G40" s="19" t="str">
        <v>Electronics</v>
      </c>
      <c r="H40" s="24">
        <v>3</v>
      </c>
      <c r="I40" s="26">
        <v>149.99</v>
      </c>
      <c r="J40" s="19" t="str">
        <v>Cash</v>
      </c>
      <c r="K40" s="28" t="str">
        <v>North</v>
      </c>
      <c r="L40" s="19" t="str">
        <v>Basic</v>
      </c>
      <c r="M40" s="22">
        <v>44769</v>
      </c>
      <c r="N40" s="30">
        <v>449.97</v>
      </c>
      <c r="O40" s="27"/>
      <c r="P40" s="19" t="str">
        <v>TRX0105</v>
      </c>
      <c r="Q40" s="22">
        <v>45695</v>
      </c>
      <c r="R40" s="19" t="str">
        <v>CUST048</v>
      </c>
      <c r="S40" s="19" t="str">
        <v>Virginia Sanders</v>
      </c>
      <c r="T40" s="19" t="str">
        <v>P007</v>
      </c>
      <c r="U40" s="19" t="str">
        <v>Desk</v>
      </c>
      <c r="V40" s="19" t="str">
        <v>Furniture</v>
      </c>
      <c r="W40" s="24">
        <v>5</v>
      </c>
      <c r="X40" s="26">
        <v>299.99</v>
      </c>
      <c r="Y40" s="19" t="str">
        <v>Credit Card</v>
      </c>
      <c r="Z40" s="28" t="str">
        <v>South</v>
      </c>
      <c r="AA40" s="19" t="str">
        <v>Basic</v>
      </c>
      <c r="AB40" s="22">
        <v>44959</v>
      </c>
      <c r="AC40" s="30">
        <v>1499.95</v>
      </c>
    </row>
    <row r="41" spans="1:29" x14ac:dyDescent="0.25">
      <c r="A41" s="19" t="str">
        <v>TRX0073</v>
      </c>
      <c r="B41" s="22">
        <v>45613</v>
      </c>
      <c r="C41" s="19" t="str">
        <v>CUST032</v>
      </c>
      <c r="D41" s="19" t="str">
        <v>Sandra Phillips</v>
      </c>
      <c r="E41" s="19" t="str">
        <v>P008</v>
      </c>
      <c r="F41" s="19" t="str">
        <v>Bookshelf</v>
      </c>
      <c r="G41" s="19" t="str">
        <v>Furniture</v>
      </c>
      <c r="H41" s="24">
        <v>5</v>
      </c>
      <c r="I41" s="26">
        <v>149.99</v>
      </c>
      <c r="J41" s="19" t="str">
        <v>Cash</v>
      </c>
      <c r="K41" s="28" t="str">
        <v>North</v>
      </c>
      <c r="L41" s="19" t="str">
        <v>Basic</v>
      </c>
      <c r="M41" s="22">
        <v>44869</v>
      </c>
      <c r="N41" s="30">
        <v>749.95</v>
      </c>
      <c r="O41" s="27"/>
      <c r="P41" s="19" t="str">
        <v>TRX0118</v>
      </c>
      <c r="Q41" s="22">
        <v>45705</v>
      </c>
      <c r="R41" s="19" t="str">
        <v>CUST015</v>
      </c>
      <c r="S41" s="19" t="str">
        <v>Richard Lee</v>
      </c>
      <c r="T41" s="19" t="str">
        <v>P008</v>
      </c>
      <c r="U41" s="19" t="str">
        <v>Bookshelf</v>
      </c>
      <c r="V41" s="19" t="str">
        <v>Furniture</v>
      </c>
      <c r="W41" s="24">
        <v>2</v>
      </c>
      <c r="X41" s="26">
        <v>149.99</v>
      </c>
      <c r="Y41" s="19" t="str">
        <v>Cash</v>
      </c>
      <c r="Z41" s="28" t="str">
        <v>South</v>
      </c>
      <c r="AA41" s="19" t="str">
        <v>Premium</v>
      </c>
      <c r="AB41" s="22">
        <v>44728</v>
      </c>
      <c r="AC41" s="30">
        <v>299.98</v>
      </c>
    </row>
    <row r="42" spans="1:29" x14ac:dyDescent="0.25">
      <c r="A42" s="19" t="str">
        <v>TRX0012</v>
      </c>
      <c r="B42" s="22">
        <v>45622</v>
      </c>
      <c r="C42" s="19" t="str">
        <v>CUST045</v>
      </c>
      <c r="D42" s="19" t="str">
        <v>Douglas Watson</v>
      </c>
      <c r="E42" s="19" t="str">
        <v>P009</v>
      </c>
      <c r="F42" s="19" t="str">
        <v>Monitor</v>
      </c>
      <c r="G42" s="19" t="str">
        <v>Electronics</v>
      </c>
      <c r="H42" s="24">
        <v>5</v>
      </c>
      <c r="I42" s="26">
        <v>249.99</v>
      </c>
      <c r="J42" s="19" t="str">
        <v>Credit Card</v>
      </c>
      <c r="K42" s="28" t="str">
        <v>North</v>
      </c>
      <c r="L42" s="19" t="str">
        <v>Basic</v>
      </c>
      <c r="M42" s="22">
        <v>44873</v>
      </c>
      <c r="N42" s="29">
        <v>1249.95</v>
      </c>
      <c r="O42" s="27"/>
      <c r="P42" s="19" t="str">
        <v>TRX0179</v>
      </c>
      <c r="Q42" s="22">
        <v>45707</v>
      </c>
      <c r="R42" s="19" t="str">
        <v>CUST029</v>
      </c>
      <c r="S42" s="19" t="str">
        <v>Edward Mitchell</v>
      </c>
      <c r="T42" s="19" t="str">
        <v>P002</v>
      </c>
      <c r="U42" s="19" t="str">
        <v>Smartphone</v>
      </c>
      <c r="V42" s="19" t="str">
        <v>Electronics</v>
      </c>
      <c r="W42" s="24">
        <v>5</v>
      </c>
      <c r="X42" s="26">
        <v>699.99</v>
      </c>
      <c r="Y42" s="19" t="str">
        <v>PayPal</v>
      </c>
      <c r="Z42" s="28" t="str">
        <v>South</v>
      </c>
      <c r="AA42" s="19" t="str">
        <v>Premium</v>
      </c>
      <c r="AB42" s="22">
        <v>45352</v>
      </c>
      <c r="AC42" s="32">
        <v>3499.95</v>
      </c>
    </row>
    <row r="43" spans="1:29" x14ac:dyDescent="0.25">
      <c r="A43" s="19" t="str">
        <v>TRX0066</v>
      </c>
      <c r="B43" s="22">
        <v>45630</v>
      </c>
      <c r="C43" s="19" t="str">
        <v>CUST024</v>
      </c>
      <c r="D43" s="19" t="str">
        <v>Dorothy Nelson</v>
      </c>
      <c r="E43" s="19" t="str">
        <v>P002</v>
      </c>
      <c r="F43" s="19" t="str">
        <v>Smartphone</v>
      </c>
      <c r="G43" s="19" t="str">
        <v>Electronics</v>
      </c>
      <c r="H43" s="24">
        <v>4</v>
      </c>
      <c r="I43" s="26">
        <v>699.99</v>
      </c>
      <c r="J43" s="19" t="str">
        <v>Credit Card</v>
      </c>
      <c r="K43" s="28" t="str">
        <v>North</v>
      </c>
      <c r="L43" s="19" t="str">
        <v>Premium</v>
      </c>
      <c r="M43" s="22">
        <v>44703</v>
      </c>
      <c r="N43" s="32">
        <v>2799.96</v>
      </c>
      <c r="O43" s="27"/>
      <c r="P43" s="19" t="str">
        <v>TRX0048</v>
      </c>
      <c r="Q43" s="22">
        <v>45715</v>
      </c>
      <c r="R43" s="19" t="str">
        <v>CUST048</v>
      </c>
      <c r="S43" s="19" t="str">
        <v>Virginia Sanders</v>
      </c>
      <c r="T43" s="19" t="str">
        <v>P007</v>
      </c>
      <c r="U43" s="19" t="str">
        <v>Desk</v>
      </c>
      <c r="V43" s="19" t="str">
        <v>Furniture</v>
      </c>
      <c r="W43" s="24">
        <v>2</v>
      </c>
      <c r="X43" s="26">
        <v>299.99</v>
      </c>
      <c r="Y43" s="19" t="str">
        <v>PayPal</v>
      </c>
      <c r="Z43" s="28" t="str">
        <v>South</v>
      </c>
      <c r="AA43" s="19" t="str">
        <v>Basic</v>
      </c>
      <c r="AB43" s="22">
        <v>44576</v>
      </c>
      <c r="AC43" s="30">
        <v>599.98</v>
      </c>
    </row>
    <row r="44" spans="1:29" x14ac:dyDescent="0.25">
      <c r="A44" s="19" t="str">
        <v>TRX0032</v>
      </c>
      <c r="B44" s="22">
        <v>45638</v>
      </c>
      <c r="C44" s="19" t="str">
        <v>CUST041</v>
      </c>
      <c r="D44" s="19" t="str">
        <v>Peter Richardson</v>
      </c>
      <c r="E44" s="19" t="str">
        <v>P001</v>
      </c>
      <c r="F44" s="19" t="str">
        <v>Laptop</v>
      </c>
      <c r="G44" s="19" t="str">
        <v>Electronics</v>
      </c>
      <c r="H44" s="24">
        <v>2</v>
      </c>
      <c r="I44" s="26">
        <v>899.99</v>
      </c>
      <c r="J44" s="19" t="str">
        <v>Cash</v>
      </c>
      <c r="K44" s="28" t="str">
        <v>North</v>
      </c>
      <c r="L44" s="19" t="str">
        <v>Basic</v>
      </c>
      <c r="M44" s="22">
        <v>44406</v>
      </c>
      <c r="N44" s="29">
        <v>1799.98</v>
      </c>
      <c r="O44" s="27"/>
      <c r="P44" s="19" t="str">
        <v>TRX0213</v>
      </c>
      <c r="Q44" s="19">
        <v>45745</v>
      </c>
      <c r="R44" s="19" t="str">
        <v>CUST020</v>
      </c>
      <c r="S44" s="19" t="str">
        <v>Margaret Wright</v>
      </c>
      <c r="T44" s="19" t="str">
        <v>P010</v>
      </c>
      <c r="U44" s="19" t="str">
        <v>Keyboard</v>
      </c>
      <c r="V44" s="19" t="str">
        <v>Electronics</v>
      </c>
      <c r="W44" s="19">
        <v>5</v>
      </c>
      <c r="X44" s="19">
        <v>89.99</v>
      </c>
      <c r="Y44" s="19" t="str">
        <v>PayPal</v>
      </c>
      <c r="Z44" s="28" t="str">
        <v>South</v>
      </c>
      <c r="AA44" s="19" t="str">
        <v>Basic</v>
      </c>
      <c r="AB44" s="19">
        <v>44704</v>
      </c>
      <c r="AC44" s="31">
        <v>449.95</v>
      </c>
    </row>
    <row r="45" spans="1:29" x14ac:dyDescent="0.25">
      <c r="A45" s="19" t="str">
        <v>TRX0008</v>
      </c>
      <c r="B45" s="22">
        <v>45648</v>
      </c>
      <c r="C45" s="19" t="str">
        <v>CUST007</v>
      </c>
      <c r="D45" s="19" t="str">
        <v>David Martinez</v>
      </c>
      <c r="E45" s="19" t="str">
        <v>P008</v>
      </c>
      <c r="F45" s="19" t="str">
        <v>Bookshelf</v>
      </c>
      <c r="G45" s="19" t="str">
        <v>Furniture</v>
      </c>
      <c r="H45" s="24">
        <v>3</v>
      </c>
      <c r="I45" s="26">
        <v>149.99</v>
      </c>
      <c r="J45" s="19" t="str">
        <v>Debit Card</v>
      </c>
      <c r="K45" s="28" t="str">
        <v>North</v>
      </c>
      <c r="L45" s="19" t="str">
        <v>Standard</v>
      </c>
      <c r="M45" s="22">
        <v>44522</v>
      </c>
      <c r="N45" s="30">
        <v>449.97</v>
      </c>
      <c r="O45" s="27"/>
    </row>
    <row r="46" spans="1:29" x14ac:dyDescent="0.25">
      <c r="A46" s="19" t="str">
        <v>TRX0207</v>
      </c>
      <c r="B46" s="22">
        <v>45657</v>
      </c>
      <c r="C46" s="19" t="str">
        <v>CUST025</v>
      </c>
      <c r="D46" s="19" t="str">
        <v>Mark Carter</v>
      </c>
      <c r="E46" s="19" t="str">
        <v>P001</v>
      </c>
      <c r="F46" s="19" t="str">
        <v>Laptop</v>
      </c>
      <c r="G46" s="19" t="str">
        <v>Electronics</v>
      </c>
      <c r="H46" s="24">
        <v>1</v>
      </c>
      <c r="I46" s="26">
        <v>899.99</v>
      </c>
      <c r="J46" s="19" t="str">
        <v>PayPal</v>
      </c>
      <c r="K46" s="28" t="str">
        <v>North</v>
      </c>
      <c r="L46" s="19" t="str">
        <v>Premium</v>
      </c>
      <c r="M46" s="22">
        <v>45050</v>
      </c>
      <c r="N46" s="30">
        <v>899.99</v>
      </c>
      <c r="O46" s="27"/>
    </row>
    <row r="47" spans="1:29" x14ac:dyDescent="0.25">
      <c r="A47" s="19" t="str">
        <v>TRX0026</v>
      </c>
      <c r="B47" s="22">
        <v>45661</v>
      </c>
      <c r="C47" s="19" t="str">
        <v>CUST037</v>
      </c>
      <c r="D47" s="19" t="str">
        <v>Arthur Edwards</v>
      </c>
      <c r="E47" s="19" t="str">
        <v>P001</v>
      </c>
      <c r="F47" s="19" t="str">
        <v>Laptop</v>
      </c>
      <c r="G47" s="19" t="str">
        <v>Electronics</v>
      </c>
      <c r="H47" s="24">
        <v>1</v>
      </c>
      <c r="I47" s="26">
        <v>899.99</v>
      </c>
      <c r="J47" s="19" t="str">
        <v>PayPal</v>
      </c>
      <c r="K47" s="28" t="str">
        <v>North</v>
      </c>
      <c r="L47" s="19" t="str">
        <v>Standard</v>
      </c>
      <c r="M47" s="22">
        <v>44752</v>
      </c>
      <c r="N47" s="30">
        <v>899.99</v>
      </c>
      <c r="O47" s="27"/>
    </row>
    <row r="48" spans="1:29" x14ac:dyDescent="0.25">
      <c r="A48" s="19" t="str">
        <v>TRX0238</v>
      </c>
      <c r="B48" s="22">
        <v>45668</v>
      </c>
      <c r="C48" s="19" t="str">
        <v>CUST038</v>
      </c>
      <c r="D48" s="19" t="str">
        <v>Michelle Rogers</v>
      </c>
      <c r="E48" s="19" t="str">
        <v>P002</v>
      </c>
      <c r="F48" s="19" t="str">
        <v>Smartphone</v>
      </c>
      <c r="G48" s="19" t="str">
        <v>Electronics</v>
      </c>
      <c r="H48" s="24">
        <v>3</v>
      </c>
      <c r="I48" s="26">
        <v>699.99</v>
      </c>
      <c r="J48" s="19" t="str">
        <v>Cash</v>
      </c>
      <c r="K48" s="28" t="str">
        <v>North</v>
      </c>
      <c r="L48" s="19" t="str">
        <v>Premium</v>
      </c>
      <c r="M48" s="22">
        <v>44602</v>
      </c>
      <c r="N48" s="29">
        <v>2099.9700000000003</v>
      </c>
      <c r="O48" s="27"/>
    </row>
    <row r="49" spans="1:15" x14ac:dyDescent="0.25">
      <c r="A49" s="19" t="str">
        <v>TRX0022</v>
      </c>
      <c r="B49" s="22">
        <v>45670</v>
      </c>
      <c r="C49" s="19" t="str">
        <v>CUST025</v>
      </c>
      <c r="D49" s="19" t="str">
        <v>Mark Carter</v>
      </c>
      <c r="E49" s="19" t="str">
        <v>P007</v>
      </c>
      <c r="F49" s="19" t="str">
        <v>Desk</v>
      </c>
      <c r="G49" s="19" t="str">
        <v>Furniture</v>
      </c>
      <c r="H49" s="24">
        <v>1</v>
      </c>
      <c r="I49" s="26">
        <v>299.99</v>
      </c>
      <c r="J49" s="19" t="str">
        <v>Credit Card</v>
      </c>
      <c r="K49" s="28" t="str">
        <v>North</v>
      </c>
      <c r="L49" s="19" t="str">
        <v>Basic</v>
      </c>
      <c r="M49" s="22">
        <v>44436</v>
      </c>
      <c r="N49" s="30">
        <v>299.99</v>
      </c>
      <c r="O49" s="27"/>
    </row>
    <row r="50" spans="1:15" x14ac:dyDescent="0.25">
      <c r="A50" s="19" t="str">
        <v>TRX0087</v>
      </c>
      <c r="B50" s="22">
        <v>45671</v>
      </c>
      <c r="C50" s="19" t="str">
        <v>CUST028</v>
      </c>
      <c r="D50" s="19" t="str">
        <v>Betty Campbell</v>
      </c>
      <c r="E50" s="19" t="str">
        <v>P009</v>
      </c>
      <c r="F50" s="19" t="str">
        <v>Monitor</v>
      </c>
      <c r="G50" s="19" t="str">
        <v>Electronics</v>
      </c>
      <c r="H50" s="24">
        <v>4</v>
      </c>
      <c r="I50" s="26">
        <v>249.99</v>
      </c>
      <c r="J50" s="19" t="str">
        <v>Credit Card</v>
      </c>
      <c r="K50" s="28" t="str">
        <v>North</v>
      </c>
      <c r="L50" s="19" t="str">
        <v>Premium</v>
      </c>
      <c r="M50" s="22">
        <v>44460</v>
      </c>
      <c r="N50" s="30">
        <v>999.96</v>
      </c>
      <c r="O50" s="27"/>
    </row>
    <row r="51" spans="1:15" x14ac:dyDescent="0.25">
      <c r="A51" s="19" t="str">
        <v>TRX0107</v>
      </c>
      <c r="B51" s="22">
        <v>45671</v>
      </c>
      <c r="C51" s="19" t="str">
        <v>CUST030</v>
      </c>
      <c r="D51" s="19" t="str">
        <v>Helen Roberts</v>
      </c>
      <c r="E51" s="19" t="str">
        <v>P003</v>
      </c>
      <c r="F51" s="19" t="str">
        <v>Headphones</v>
      </c>
      <c r="G51" s="19" t="str">
        <v>Electronics</v>
      </c>
      <c r="H51" s="24">
        <v>2</v>
      </c>
      <c r="I51" s="26">
        <v>149.99</v>
      </c>
      <c r="J51" s="19" t="str">
        <v>Cash</v>
      </c>
      <c r="K51" s="28" t="str">
        <v>North</v>
      </c>
      <c r="L51" s="19" t="str">
        <v>Standard</v>
      </c>
      <c r="M51" s="22">
        <v>44913</v>
      </c>
      <c r="N51" s="30">
        <v>299.98</v>
      </c>
      <c r="O51" s="27"/>
    </row>
    <row r="52" spans="1:15" x14ac:dyDescent="0.25">
      <c r="A52" s="19" t="str">
        <v>TRX0024</v>
      </c>
      <c r="B52" s="22">
        <v>45695</v>
      </c>
      <c r="C52" s="19" t="str">
        <v>CUST042</v>
      </c>
      <c r="D52" s="19" t="str">
        <v>Ruth Brooks</v>
      </c>
      <c r="E52" s="19" t="str">
        <v>P008</v>
      </c>
      <c r="F52" s="19" t="str">
        <v>Bookshelf</v>
      </c>
      <c r="G52" s="19" t="str">
        <v>Furniture</v>
      </c>
      <c r="H52" s="24">
        <v>3</v>
      </c>
      <c r="I52" s="26">
        <v>149.99</v>
      </c>
      <c r="J52" s="19" t="str">
        <v>Debit Card</v>
      </c>
      <c r="K52" s="28" t="str">
        <v>North</v>
      </c>
      <c r="L52" s="19" t="str">
        <v>Premium</v>
      </c>
      <c r="M52" s="22">
        <v>44564</v>
      </c>
      <c r="N52" s="30">
        <v>449.97</v>
      </c>
      <c r="O52" s="27"/>
    </row>
    <row r="53" spans="1:15" x14ac:dyDescent="0.25">
      <c r="A53" s="19" t="str">
        <v>TRX0047</v>
      </c>
      <c r="B53" s="22">
        <v>45711</v>
      </c>
      <c r="C53" s="19" t="str">
        <v>CUST042</v>
      </c>
      <c r="D53" s="19" t="str">
        <v>Ruth Brooks</v>
      </c>
      <c r="E53" s="19" t="str">
        <v>P002</v>
      </c>
      <c r="F53" s="19" t="str">
        <v>Smartphone</v>
      </c>
      <c r="G53" s="19" t="str">
        <v>Electronics</v>
      </c>
      <c r="H53" s="24">
        <v>1</v>
      </c>
      <c r="I53" s="26">
        <v>699.99</v>
      </c>
      <c r="J53" s="19" t="str">
        <v>Cash</v>
      </c>
      <c r="K53" s="28" t="str">
        <v>North</v>
      </c>
      <c r="L53" s="19" t="str">
        <v>Premium</v>
      </c>
      <c r="M53" s="22">
        <v>44583</v>
      </c>
      <c r="N53" s="30">
        <v>699.99</v>
      </c>
      <c r="O53" s="27"/>
    </row>
    <row r="54" spans="1:15" x14ac:dyDescent="0.25">
      <c r="A54" s="19" t="str">
        <v>TRX0200</v>
      </c>
      <c r="B54" s="22">
        <v>45711</v>
      </c>
      <c r="C54" s="19" t="str">
        <v>CUST037</v>
      </c>
      <c r="D54" s="19" t="str">
        <v>Arthur Edwards</v>
      </c>
      <c r="E54" s="19" t="str">
        <v>P008</v>
      </c>
      <c r="F54" s="19" t="str">
        <v>Bookshelf</v>
      </c>
      <c r="G54" s="19" t="str">
        <v>Furniture</v>
      </c>
      <c r="H54" s="24">
        <v>4</v>
      </c>
      <c r="I54" s="26">
        <v>149.99</v>
      </c>
      <c r="J54" s="19" t="str">
        <v>PayPal</v>
      </c>
      <c r="K54" s="28" t="str">
        <v>North</v>
      </c>
      <c r="L54" s="19" t="str">
        <v>Premium</v>
      </c>
      <c r="M54" s="22">
        <v>44412</v>
      </c>
      <c r="N54" s="30">
        <v>599.96</v>
      </c>
      <c r="O54" s="27"/>
    </row>
    <row r="55" spans="1:15" x14ac:dyDescent="0.25">
      <c r="A55" s="19" t="str">
        <v>TRX0038</v>
      </c>
      <c r="B55" s="22">
        <v>45726</v>
      </c>
      <c r="C55" s="19" t="str">
        <v>CUST035</v>
      </c>
      <c r="D55" s="19" t="str">
        <v>Harry Morgan</v>
      </c>
      <c r="E55" s="19" t="str">
        <v>P009</v>
      </c>
      <c r="F55" s="19" t="str">
        <v>Monitor</v>
      </c>
      <c r="G55" s="19" t="str">
        <v>Electronics</v>
      </c>
      <c r="H55" s="24">
        <v>1</v>
      </c>
      <c r="I55" s="26">
        <v>249.99</v>
      </c>
      <c r="J55" s="19" t="str">
        <v>Cash</v>
      </c>
      <c r="K55" s="28" t="str">
        <v>North</v>
      </c>
      <c r="L55" s="19" t="str">
        <v>Standard</v>
      </c>
      <c r="M55" s="22">
        <v>45117</v>
      </c>
      <c r="N55" s="30">
        <v>249.99</v>
      </c>
      <c r="O55" s="27"/>
    </row>
    <row r="56" spans="1:15" x14ac:dyDescent="0.25">
      <c r="A56" s="19" t="str">
        <v>TRX0124</v>
      </c>
      <c r="B56" s="22">
        <v>45737</v>
      </c>
      <c r="C56" s="19" t="str">
        <v>CUST040</v>
      </c>
      <c r="D56" s="19" t="str">
        <v>Sharon Butler</v>
      </c>
      <c r="E56" s="19" t="str">
        <v>P001</v>
      </c>
      <c r="F56" s="19" t="str">
        <v>Laptop</v>
      </c>
      <c r="G56" s="19" t="str">
        <v>Electronics</v>
      </c>
      <c r="H56" s="24">
        <v>3</v>
      </c>
      <c r="I56" s="26">
        <v>899.99</v>
      </c>
      <c r="J56" s="19" t="str">
        <v>Debit Card</v>
      </c>
      <c r="K56" s="28" t="str">
        <v>North</v>
      </c>
      <c r="L56" s="19" t="str">
        <v>Premium</v>
      </c>
      <c r="M56" s="22">
        <v>44876</v>
      </c>
      <c r="N56" s="32">
        <v>2699.9700000000003</v>
      </c>
      <c r="O56" s="27"/>
    </row>
    <row r="57" spans="1:15" x14ac:dyDescent="0.25">
      <c r="A57" s="19" t="str">
        <v>TRX0013</v>
      </c>
      <c r="B57" s="22">
        <v>45737</v>
      </c>
      <c r="C57" s="19" t="str">
        <v>CUST024</v>
      </c>
      <c r="D57" s="19" t="str">
        <v>Dorothy Nelson</v>
      </c>
      <c r="E57" s="19" t="str">
        <v>P001</v>
      </c>
      <c r="F57" s="19" t="str">
        <v>Laptop</v>
      </c>
      <c r="G57" s="19" t="str">
        <v>Electronics</v>
      </c>
      <c r="H57" s="24">
        <v>3</v>
      </c>
      <c r="I57" s="26">
        <v>899.99</v>
      </c>
      <c r="J57" s="19" t="str">
        <v>PayPal</v>
      </c>
      <c r="K57" s="28" t="str">
        <v>North</v>
      </c>
      <c r="L57" s="19" t="str">
        <v>Basic</v>
      </c>
      <c r="M57" s="22">
        <v>44975</v>
      </c>
      <c r="N57" s="32">
        <v>2699.9700000000003</v>
      </c>
      <c r="O57" s="27"/>
    </row>
    <row r="58" spans="1:15" x14ac:dyDescent="0.25">
      <c r="A58" s="19" t="str">
        <v>TRX0068</v>
      </c>
      <c r="B58" s="22">
        <v>45748</v>
      </c>
      <c r="C58" s="19" t="str">
        <v>CUST044</v>
      </c>
      <c r="D58" s="19" t="str">
        <v>Cynthia Price</v>
      </c>
      <c r="E58" s="19" t="str">
        <v>P002</v>
      </c>
      <c r="F58" s="19" t="str">
        <v>Smartphone</v>
      </c>
      <c r="G58" s="19" t="str">
        <v>Electronics</v>
      </c>
      <c r="H58" s="24">
        <v>2</v>
      </c>
      <c r="I58" s="26">
        <v>699.99</v>
      </c>
      <c r="J58" s="19" t="str">
        <v>PayPal</v>
      </c>
      <c r="K58" s="28" t="str">
        <v>North</v>
      </c>
      <c r="L58" s="19" t="str">
        <v>Standard</v>
      </c>
      <c r="M58" s="22">
        <v>44618</v>
      </c>
      <c r="N58" s="29">
        <v>1399.98</v>
      </c>
      <c r="O58" s="27"/>
    </row>
    <row r="59" spans="1:15" x14ac:dyDescent="0.25">
      <c r="A59" s="19" t="str">
        <v>TRX0039</v>
      </c>
      <c r="B59" s="22">
        <v>45755</v>
      </c>
      <c r="C59" s="19" t="str">
        <v>CUST048</v>
      </c>
      <c r="D59" s="19" t="str">
        <v>Virginia Sanders</v>
      </c>
      <c r="E59" s="19" t="str">
        <v>P004</v>
      </c>
      <c r="F59" s="19" t="str">
        <v>Coffee Maker</v>
      </c>
      <c r="G59" s="19" t="str">
        <v>Appliances</v>
      </c>
      <c r="H59" s="24">
        <v>3</v>
      </c>
      <c r="I59" s="26">
        <v>79.989999999999995</v>
      </c>
      <c r="J59" s="19" t="str">
        <v>Credit Card</v>
      </c>
      <c r="K59" s="28" t="str">
        <v>North</v>
      </c>
      <c r="L59" s="19" t="str">
        <v>Basic</v>
      </c>
      <c r="M59" s="22">
        <v>44511</v>
      </c>
      <c r="N59" s="30">
        <v>239.96999999999997</v>
      </c>
      <c r="O59" s="27"/>
    </row>
    <row r="60" spans="1:15" x14ac:dyDescent="0.25">
      <c r="A60" s="19" t="str">
        <v>TRX0120</v>
      </c>
      <c r="B60" s="22">
        <v>45758</v>
      </c>
      <c r="C60" s="19" t="str">
        <v>CUST045</v>
      </c>
      <c r="D60" s="19" t="str">
        <v>Douglas Watson</v>
      </c>
      <c r="E60" s="19" t="str">
        <v>P002</v>
      </c>
      <c r="F60" s="19" t="str">
        <v>Smartphone</v>
      </c>
      <c r="G60" s="19" t="str">
        <v>Electronics</v>
      </c>
      <c r="H60" s="24">
        <v>3</v>
      </c>
      <c r="I60" s="26">
        <v>699.99</v>
      </c>
      <c r="J60" s="19" t="str">
        <v>PayPal</v>
      </c>
      <c r="K60" s="28" t="str">
        <v>North</v>
      </c>
      <c r="L60" s="19" t="str">
        <v>Basic</v>
      </c>
      <c r="M60" s="22">
        <v>44909</v>
      </c>
      <c r="N60" s="29">
        <v>2099.9700000000003</v>
      </c>
      <c r="O60" s="27"/>
    </row>
    <row r="61" spans="1:15" x14ac:dyDescent="0.25">
      <c r="A61" s="19" t="str">
        <v>TRX0064</v>
      </c>
      <c r="B61" s="19">
        <v>45758</v>
      </c>
      <c r="C61" s="19" t="str">
        <v>CUST031</v>
      </c>
      <c r="D61" s="19" t="str">
        <v>Steven Turner</v>
      </c>
      <c r="E61" s="19" t="str">
        <v>P010</v>
      </c>
      <c r="F61" s="19" t="str">
        <v>Keyboard</v>
      </c>
      <c r="G61" s="19" t="str">
        <v>Electronics</v>
      </c>
      <c r="H61" s="19">
        <v>3</v>
      </c>
      <c r="I61" s="19">
        <v>89.99</v>
      </c>
      <c r="J61" s="19" t="str">
        <v>Debit Card</v>
      </c>
      <c r="K61" s="28" t="str">
        <v>North</v>
      </c>
      <c r="L61" s="19" t="str">
        <v>Premium</v>
      </c>
      <c r="M61" s="19">
        <v>44878</v>
      </c>
      <c r="N61" s="31">
        <v>269.96999999999997</v>
      </c>
      <c r="O61" s="27"/>
    </row>
  </sheetData>
  <mergeCells count="2">
    <mergeCell ref="A1:N1"/>
    <mergeCell ref="P1:AC1"/>
  </mergeCells>
  <conditionalFormatting sqref="N3:N61">
    <cfRule type="iconSet" priority="2">
      <iconSet iconSet="3Arrows">
        <cfvo type="percent" val="0"/>
        <cfvo type="percent" val="33"/>
        <cfvo type="percent" val="67"/>
      </iconSet>
    </cfRule>
  </conditionalFormatting>
  <conditionalFormatting sqref="AC3:AC44">
    <cfRule type="iconSet" priority="1">
      <iconSet iconSet="3Arrows">
        <cfvo type="percent" val="0"/>
        <cfvo type="percent" val="33"/>
        <cfvo type="percent" val="67"/>
      </iconSet>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230D-932D-4532-AF96-95C255C278CA}">
  <dimension ref="A1:AC50"/>
  <sheetViews>
    <sheetView topLeftCell="F1" workbookViewId="0">
      <selection activeCell="W12" sqref="W12"/>
    </sheetView>
  </sheetViews>
  <sheetFormatPr defaultRowHeight="15" x14ac:dyDescent="0.25"/>
  <cols>
    <col min="1" max="1" width="18.7109375" customWidth="1"/>
    <col min="2" max="2" width="14.5703125" customWidth="1"/>
    <col min="3" max="3" width="15" customWidth="1"/>
    <col min="4" max="4" width="18.7109375" customWidth="1"/>
    <col min="5" max="5" width="15.28515625" customWidth="1"/>
    <col min="6" max="6" width="17.140625" customWidth="1"/>
    <col min="7" max="7" width="14" customWidth="1"/>
    <col min="8" max="8" width="11.28515625" customWidth="1"/>
    <col min="9" max="9" width="14" customWidth="1"/>
    <col min="10" max="10" width="19.140625" customWidth="1"/>
    <col min="11" max="11" width="13.5703125" customWidth="1"/>
    <col min="12" max="12" width="22.140625" customWidth="1"/>
    <col min="13" max="13" width="20.28515625" customWidth="1"/>
    <col min="14" max="14" width="18.85546875" customWidth="1"/>
    <col min="16" max="16" width="16" customWidth="1"/>
    <col min="17" max="17" width="13.140625" customWidth="1"/>
    <col min="18" max="18" width="16.85546875" customWidth="1"/>
    <col min="19" max="19" width="19.7109375" customWidth="1"/>
    <col min="20" max="20" width="13.28515625" customWidth="1"/>
    <col min="21" max="21" width="20.140625" customWidth="1"/>
    <col min="22" max="22" width="15.85546875" customWidth="1"/>
    <col min="23" max="23" width="13" customWidth="1"/>
    <col min="24" max="24" width="16.5703125" customWidth="1"/>
    <col min="25" max="25" width="20.140625" customWidth="1"/>
    <col min="26" max="26" width="13.28515625" customWidth="1"/>
    <col min="27" max="27" width="23.28515625" customWidth="1"/>
    <col min="28" max="28" width="20.85546875" customWidth="1"/>
    <col min="29" max="29" width="18.7109375" customWidth="1"/>
  </cols>
  <sheetData>
    <row r="1" spans="1:29" ht="31.5" x14ac:dyDescent="0.6">
      <c r="A1" s="90" t="s">
        <v>406</v>
      </c>
      <c r="B1" s="90"/>
      <c r="C1" s="90"/>
      <c r="D1" s="90"/>
      <c r="E1" s="90"/>
      <c r="F1" s="90"/>
      <c r="G1" s="90"/>
      <c r="H1" s="90"/>
      <c r="I1" s="90"/>
      <c r="J1" s="90"/>
      <c r="K1" s="90"/>
      <c r="L1" s="90"/>
      <c r="M1" s="90"/>
      <c r="N1" s="90"/>
      <c r="O1" s="27"/>
      <c r="P1" s="90" t="s">
        <v>405</v>
      </c>
      <c r="Q1" s="90"/>
      <c r="R1" s="90"/>
      <c r="S1" s="90"/>
      <c r="T1" s="90"/>
      <c r="U1" s="90"/>
      <c r="V1" s="90"/>
      <c r="W1" s="90"/>
      <c r="X1" s="90"/>
      <c r="Y1" s="90"/>
      <c r="Z1" s="90"/>
      <c r="AA1" s="90"/>
      <c r="AB1" s="90"/>
      <c r="AC1" s="90"/>
    </row>
    <row r="2" spans="1:29" ht="15.75" x14ac:dyDescent="0.25">
      <c r="A2" s="20" t="s">
        <v>0</v>
      </c>
      <c r="B2" s="21" t="s">
        <v>1</v>
      </c>
      <c r="C2" s="20" t="s">
        <v>2</v>
      </c>
      <c r="D2" s="20" t="s">
        <v>3</v>
      </c>
      <c r="E2" s="20" t="s">
        <v>4</v>
      </c>
      <c r="F2" s="20" t="s">
        <v>5</v>
      </c>
      <c r="G2" s="20" t="s">
        <v>6</v>
      </c>
      <c r="H2" s="23" t="s">
        <v>7</v>
      </c>
      <c r="I2" s="25" t="s">
        <v>8</v>
      </c>
      <c r="J2" s="20" t="s">
        <v>9</v>
      </c>
      <c r="K2" s="20" t="s">
        <v>10</v>
      </c>
      <c r="L2" s="20" t="s">
        <v>11</v>
      </c>
      <c r="M2" s="21" t="s">
        <v>12</v>
      </c>
      <c r="N2" s="21" t="s">
        <v>13</v>
      </c>
      <c r="O2" s="27"/>
      <c r="P2" s="20" t="s">
        <v>0</v>
      </c>
      <c r="Q2" s="21" t="s">
        <v>1</v>
      </c>
      <c r="R2" s="20" t="s">
        <v>2</v>
      </c>
      <c r="S2" s="20" t="s">
        <v>3</v>
      </c>
      <c r="T2" s="20" t="s">
        <v>4</v>
      </c>
      <c r="U2" s="20" t="s">
        <v>5</v>
      </c>
      <c r="V2" s="20" t="s">
        <v>6</v>
      </c>
      <c r="W2" s="23" t="s">
        <v>7</v>
      </c>
      <c r="X2" s="25" t="s">
        <v>8</v>
      </c>
      <c r="Y2" s="20" t="s">
        <v>9</v>
      </c>
      <c r="Z2" s="20" t="s">
        <v>10</v>
      </c>
      <c r="AA2" s="20" t="s">
        <v>11</v>
      </c>
      <c r="AB2" s="21" t="s">
        <v>12</v>
      </c>
      <c r="AC2" s="25" t="s">
        <v>13</v>
      </c>
    </row>
    <row r="3" spans="1:29" x14ac:dyDescent="0.25">
      <c r="A3" s="19" t="str" cm="1">
        <f t="array" ref="A3:N50">_xlfn._xlws.FILTER('Data Intelligence Dashboard'!A2:N251,'Data Intelligence Dashboard'!K2:K251="EAST")</f>
        <v>TRX0135</v>
      </c>
      <c r="B3" s="22">
        <v>45405</v>
      </c>
      <c r="C3" s="19" t="str">
        <v>CUST009</v>
      </c>
      <c r="D3" s="19" t="str">
        <v>Robert Thomas</v>
      </c>
      <c r="E3" s="19" t="str">
        <v>P001</v>
      </c>
      <c r="F3" s="19" t="str">
        <v>Laptop</v>
      </c>
      <c r="G3" s="19" t="str">
        <v>Electronics</v>
      </c>
      <c r="H3" s="24">
        <v>3</v>
      </c>
      <c r="I3" s="26">
        <v>899.99</v>
      </c>
      <c r="J3" s="19" t="str">
        <v>PayPal</v>
      </c>
      <c r="K3" s="28" t="str">
        <v>East</v>
      </c>
      <c r="L3" s="19" t="str">
        <v>Standard</v>
      </c>
      <c r="M3" s="22">
        <v>45299</v>
      </c>
      <c r="N3" s="34">
        <v>2699.9700000000003</v>
      </c>
      <c r="O3" s="27"/>
      <c r="P3" s="19" t="str" cm="1">
        <f t="array" ref="P3:AC49">_xlfn._xlws.FILTER('Data Intelligence Dashboard'!A2:N251,'Data Intelligence Dashboard'!K2:K251="WEST")</f>
        <v>TRX0092</v>
      </c>
      <c r="Q3" s="22">
        <v>45403</v>
      </c>
      <c r="R3" s="19" t="str">
        <v>CUST024</v>
      </c>
      <c r="S3" s="19" t="str">
        <v>Dorothy Nelson</v>
      </c>
      <c r="T3" s="19" t="str">
        <v>P005</v>
      </c>
      <c r="U3" s="19" t="str">
        <v>Blender</v>
      </c>
      <c r="V3" s="19" t="str">
        <v>Appliances</v>
      </c>
      <c r="W3" s="24">
        <v>2</v>
      </c>
      <c r="X3" s="26">
        <v>59.99</v>
      </c>
      <c r="Y3" s="19" t="str">
        <v>Cash</v>
      </c>
      <c r="Z3" s="28" t="str">
        <v>West</v>
      </c>
      <c r="AA3" s="19" t="str">
        <v>Standard</v>
      </c>
      <c r="AB3" s="22">
        <v>44746</v>
      </c>
      <c r="AC3" s="30">
        <v>119.98</v>
      </c>
    </row>
    <row r="4" spans="1:29" x14ac:dyDescent="0.25">
      <c r="A4" s="19" t="str">
        <v>TRX0239</v>
      </c>
      <c r="B4" s="22">
        <v>45413</v>
      </c>
      <c r="C4" s="19" t="str">
        <v>CUST012</v>
      </c>
      <c r="D4" s="19" t="str">
        <v>Patricia Moore</v>
      </c>
      <c r="E4" s="19" t="str">
        <v>P002</v>
      </c>
      <c r="F4" s="19" t="str">
        <v>Smartphone</v>
      </c>
      <c r="G4" s="19" t="str">
        <v>Electronics</v>
      </c>
      <c r="H4" s="24">
        <v>4</v>
      </c>
      <c r="I4" s="26">
        <v>699.99</v>
      </c>
      <c r="J4" s="19" t="str">
        <v>Cash</v>
      </c>
      <c r="K4" s="28" t="str">
        <v>East</v>
      </c>
      <c r="L4" s="19" t="str">
        <v>Standard</v>
      </c>
      <c r="M4" s="22">
        <v>44409</v>
      </c>
      <c r="N4" s="34">
        <v>2799.96</v>
      </c>
      <c r="O4" s="27"/>
      <c r="P4" s="19" t="str">
        <v>TRX0185</v>
      </c>
      <c r="Q4" s="22">
        <v>45408</v>
      </c>
      <c r="R4" s="19" t="str">
        <v>CUST026</v>
      </c>
      <c r="S4" s="19" t="str">
        <v>Karen Hill</v>
      </c>
      <c r="T4" s="19" t="str">
        <v>P005</v>
      </c>
      <c r="U4" s="19" t="str">
        <v>Blender</v>
      </c>
      <c r="V4" s="19" t="str">
        <v>Appliances</v>
      </c>
      <c r="W4" s="24">
        <v>3</v>
      </c>
      <c r="X4" s="26">
        <v>59.99</v>
      </c>
      <c r="Y4" s="19" t="str">
        <v>Cash</v>
      </c>
      <c r="Z4" s="28" t="str">
        <v>West</v>
      </c>
      <c r="AA4" s="19" t="str">
        <v>Premium</v>
      </c>
      <c r="AB4" s="22">
        <v>45207</v>
      </c>
      <c r="AC4" s="30">
        <v>179.97</v>
      </c>
    </row>
    <row r="5" spans="1:29" x14ac:dyDescent="0.25">
      <c r="A5" s="19" t="str">
        <v>TRX0040</v>
      </c>
      <c r="B5" s="22">
        <v>45424</v>
      </c>
      <c r="C5" s="19" t="str">
        <v>CUST022</v>
      </c>
      <c r="D5" s="19" t="str">
        <v>Susan Green</v>
      </c>
      <c r="E5" s="19" t="str">
        <v>P007</v>
      </c>
      <c r="F5" s="19" t="str">
        <v>Desk</v>
      </c>
      <c r="G5" s="19" t="str">
        <v>Furniture</v>
      </c>
      <c r="H5" s="24">
        <v>5</v>
      </c>
      <c r="I5" s="26">
        <v>299.99</v>
      </c>
      <c r="J5" s="19" t="str">
        <v>PayPal</v>
      </c>
      <c r="K5" s="28" t="str">
        <v>East</v>
      </c>
      <c r="L5" s="19" t="str">
        <v>Basic</v>
      </c>
      <c r="M5" s="22">
        <v>45168</v>
      </c>
      <c r="N5" s="33">
        <v>1499.95</v>
      </c>
      <c r="O5" s="27"/>
      <c r="P5" s="19" t="str">
        <v>TRX0138</v>
      </c>
      <c r="Q5" s="22">
        <v>45408</v>
      </c>
      <c r="R5" s="19" t="str">
        <v>CUST022</v>
      </c>
      <c r="S5" s="19" t="str">
        <v>Susan Green</v>
      </c>
      <c r="T5" s="19" t="str">
        <v>P008</v>
      </c>
      <c r="U5" s="19" t="str">
        <v>Bookshelf</v>
      </c>
      <c r="V5" s="19" t="str">
        <v>Furniture</v>
      </c>
      <c r="W5" s="24">
        <v>1</v>
      </c>
      <c r="X5" s="26">
        <v>149.99</v>
      </c>
      <c r="Y5" s="19" t="str">
        <v>Credit Card</v>
      </c>
      <c r="Z5" s="28" t="str">
        <v>West</v>
      </c>
      <c r="AA5" s="19" t="str">
        <v>Standard</v>
      </c>
      <c r="AB5" s="22">
        <v>45103</v>
      </c>
      <c r="AC5" s="30">
        <v>149.99</v>
      </c>
    </row>
    <row r="6" spans="1:29" x14ac:dyDescent="0.25">
      <c r="A6" s="19" t="str">
        <v>TRX0235</v>
      </c>
      <c r="B6" s="22">
        <v>45424</v>
      </c>
      <c r="C6" s="19" t="str">
        <v>CUST014</v>
      </c>
      <c r="D6" s="19" t="str">
        <v>Linda Martin</v>
      </c>
      <c r="E6" s="19" t="str">
        <v>P004</v>
      </c>
      <c r="F6" s="19" t="str">
        <v>Coffee Maker</v>
      </c>
      <c r="G6" s="19" t="str">
        <v>Appliances</v>
      </c>
      <c r="H6" s="24">
        <v>3</v>
      </c>
      <c r="I6" s="26">
        <v>79.989999999999995</v>
      </c>
      <c r="J6" s="19" t="str">
        <v>PayPal</v>
      </c>
      <c r="K6" s="28" t="str">
        <v>East</v>
      </c>
      <c r="L6" s="19" t="str">
        <v>Premium</v>
      </c>
      <c r="M6" s="22">
        <v>45012</v>
      </c>
      <c r="N6" s="33">
        <v>239.96999999999997</v>
      </c>
      <c r="O6" s="27"/>
      <c r="P6" s="19" t="str">
        <v>TRX0191</v>
      </c>
      <c r="Q6" s="22">
        <v>45409</v>
      </c>
      <c r="R6" s="19" t="str">
        <v>CUST038</v>
      </c>
      <c r="S6" s="19" t="str">
        <v>Michelle Rogers</v>
      </c>
      <c r="T6" s="19" t="str">
        <v>P002</v>
      </c>
      <c r="U6" s="19" t="str">
        <v>Smartphone</v>
      </c>
      <c r="V6" s="19" t="str">
        <v>Electronics</v>
      </c>
      <c r="W6" s="24">
        <v>3</v>
      </c>
      <c r="X6" s="26">
        <v>699.99</v>
      </c>
      <c r="Y6" s="19" t="str">
        <v>Credit Card</v>
      </c>
      <c r="Z6" s="28" t="str">
        <v>West</v>
      </c>
      <c r="AA6" s="19" t="str">
        <v>Basic</v>
      </c>
      <c r="AB6" s="22">
        <v>44577</v>
      </c>
      <c r="AC6" s="29">
        <v>2099.9700000000003</v>
      </c>
    </row>
    <row r="7" spans="1:29" x14ac:dyDescent="0.25">
      <c r="A7" s="19" t="str">
        <v>TRX0241</v>
      </c>
      <c r="B7" s="22">
        <v>45427</v>
      </c>
      <c r="C7" s="19" t="str">
        <v>CUST029</v>
      </c>
      <c r="D7" s="19" t="str">
        <v>Edward Mitchell</v>
      </c>
      <c r="E7" s="19" t="str">
        <v>P005</v>
      </c>
      <c r="F7" s="19" t="str">
        <v>Blender</v>
      </c>
      <c r="G7" s="19" t="str">
        <v>Appliances</v>
      </c>
      <c r="H7" s="24">
        <v>4</v>
      </c>
      <c r="I7" s="26">
        <v>59.99</v>
      </c>
      <c r="J7" s="19" t="str">
        <v>Debit Card</v>
      </c>
      <c r="K7" s="28" t="str">
        <v>East</v>
      </c>
      <c r="L7" s="19" t="str">
        <v>Standard</v>
      </c>
      <c r="M7" s="22">
        <v>44867</v>
      </c>
      <c r="N7" s="33">
        <v>239.96</v>
      </c>
      <c r="O7" s="27"/>
      <c r="P7" s="19" t="str">
        <v>TRX0122</v>
      </c>
      <c r="Q7" s="22">
        <v>45410</v>
      </c>
      <c r="R7" s="19" t="str">
        <v>CUST025</v>
      </c>
      <c r="S7" s="19" t="str">
        <v>Mark Carter</v>
      </c>
      <c r="T7" s="19" t="str">
        <v>P001</v>
      </c>
      <c r="U7" s="19" t="str">
        <v>Laptop</v>
      </c>
      <c r="V7" s="19" t="str">
        <v>Electronics</v>
      </c>
      <c r="W7" s="24">
        <v>4</v>
      </c>
      <c r="X7" s="26">
        <v>899.99</v>
      </c>
      <c r="Y7" s="19" t="str">
        <v>Credit Card</v>
      </c>
      <c r="Z7" s="28" t="str">
        <v>West</v>
      </c>
      <c r="AA7" s="19" t="str">
        <v>Standard</v>
      </c>
      <c r="AB7" s="22">
        <v>45327</v>
      </c>
      <c r="AC7" s="32">
        <v>3599.96</v>
      </c>
    </row>
    <row r="8" spans="1:29" x14ac:dyDescent="0.25">
      <c r="A8" s="19" t="str">
        <v>TRX0232</v>
      </c>
      <c r="B8" s="22">
        <v>45434</v>
      </c>
      <c r="C8" s="19" t="str">
        <v>CUST012</v>
      </c>
      <c r="D8" s="19" t="str">
        <v>Patricia Moore</v>
      </c>
      <c r="E8" s="19" t="str">
        <v>P007</v>
      </c>
      <c r="F8" s="19" t="str">
        <v>Desk</v>
      </c>
      <c r="G8" s="19" t="str">
        <v>Furniture</v>
      </c>
      <c r="H8" s="24">
        <v>3</v>
      </c>
      <c r="I8" s="26">
        <v>299.99</v>
      </c>
      <c r="J8" s="19" t="str">
        <v>Credit Card</v>
      </c>
      <c r="K8" s="28" t="str">
        <v>East</v>
      </c>
      <c r="L8" s="19" t="str">
        <v>Basic</v>
      </c>
      <c r="M8" s="22">
        <v>44824</v>
      </c>
      <c r="N8" s="33">
        <v>899.97</v>
      </c>
      <c r="O8" s="27"/>
      <c r="P8" s="19" t="str">
        <v>TRX0231</v>
      </c>
      <c r="Q8" s="22">
        <v>45412</v>
      </c>
      <c r="R8" s="19" t="str">
        <v>CUST018</v>
      </c>
      <c r="S8" s="19" t="str">
        <v>Barbara Young</v>
      </c>
      <c r="T8" s="19" t="str">
        <v>P002</v>
      </c>
      <c r="U8" s="19" t="str">
        <v>Smartphone</v>
      </c>
      <c r="V8" s="19" t="str">
        <v>Electronics</v>
      </c>
      <c r="W8" s="24">
        <v>5</v>
      </c>
      <c r="X8" s="26">
        <v>699.99</v>
      </c>
      <c r="Y8" s="19" t="str">
        <v>Cash</v>
      </c>
      <c r="Z8" s="28" t="str">
        <v>West</v>
      </c>
      <c r="AA8" s="19" t="str">
        <v>Basic</v>
      </c>
      <c r="AB8" s="22">
        <v>45167</v>
      </c>
      <c r="AC8" s="32">
        <v>3499.95</v>
      </c>
    </row>
    <row r="9" spans="1:29" x14ac:dyDescent="0.25">
      <c r="A9" s="19" t="str">
        <v>TRX0208</v>
      </c>
      <c r="B9" s="22">
        <v>45446</v>
      </c>
      <c r="C9" s="19" t="str">
        <v>CUST004</v>
      </c>
      <c r="D9" s="19" t="str">
        <v>Sarah Davis</v>
      </c>
      <c r="E9" s="19" t="str">
        <v>P010</v>
      </c>
      <c r="F9" s="19" t="str">
        <v>Keyboard</v>
      </c>
      <c r="G9" s="19" t="str">
        <v>Electronics</v>
      </c>
      <c r="H9" s="24">
        <v>5</v>
      </c>
      <c r="I9" s="26">
        <v>89.99</v>
      </c>
      <c r="J9" s="19" t="str">
        <v>Credit Card</v>
      </c>
      <c r="K9" s="28" t="str">
        <v>East</v>
      </c>
      <c r="L9" s="19" t="str">
        <v>Standard</v>
      </c>
      <c r="M9" s="22">
        <v>44587</v>
      </c>
      <c r="N9" s="33">
        <v>449.95</v>
      </c>
      <c r="O9" s="27"/>
      <c r="P9" s="19" t="str">
        <v>TRX0242</v>
      </c>
      <c r="Q9" s="22">
        <v>45416</v>
      </c>
      <c r="R9" s="19" t="str">
        <v>CUST025</v>
      </c>
      <c r="S9" s="19" t="str">
        <v>Mark Carter</v>
      </c>
      <c r="T9" s="19" t="str">
        <v>P007</v>
      </c>
      <c r="U9" s="19" t="str">
        <v>Desk</v>
      </c>
      <c r="V9" s="19" t="str">
        <v>Furniture</v>
      </c>
      <c r="W9" s="24">
        <v>4</v>
      </c>
      <c r="X9" s="26">
        <v>299.99</v>
      </c>
      <c r="Y9" s="19" t="str">
        <v>Cash</v>
      </c>
      <c r="Z9" s="28" t="str">
        <v>West</v>
      </c>
      <c r="AA9" s="19" t="str">
        <v>Premium</v>
      </c>
      <c r="AB9" s="22">
        <v>44716</v>
      </c>
      <c r="AC9" s="30">
        <v>1199.96</v>
      </c>
    </row>
    <row r="10" spans="1:29" x14ac:dyDescent="0.25">
      <c r="A10" s="19" t="str">
        <v>TRX0234</v>
      </c>
      <c r="B10" s="22">
        <v>45449</v>
      </c>
      <c r="C10" s="19" t="str">
        <v>CUST013</v>
      </c>
      <c r="D10" s="19" t="str">
        <v>Joseph Jackson</v>
      </c>
      <c r="E10" s="19" t="str">
        <v>P009</v>
      </c>
      <c r="F10" s="19" t="str">
        <v>Monitor</v>
      </c>
      <c r="G10" s="19" t="str">
        <v>Electronics</v>
      </c>
      <c r="H10" s="24">
        <v>5</v>
      </c>
      <c r="I10" s="26">
        <v>249.99</v>
      </c>
      <c r="J10" s="19" t="str">
        <v>Credit Card</v>
      </c>
      <c r="K10" s="28" t="str">
        <v>East</v>
      </c>
      <c r="L10" s="19" t="str">
        <v>Standard</v>
      </c>
      <c r="M10" s="22">
        <v>44707</v>
      </c>
      <c r="N10" s="33">
        <v>1249.95</v>
      </c>
      <c r="O10" s="27"/>
      <c r="P10" s="19" t="str">
        <v>TRX0071</v>
      </c>
      <c r="Q10" s="22">
        <v>45422</v>
      </c>
      <c r="R10" s="19" t="str">
        <v>CUST036</v>
      </c>
      <c r="S10" s="19" t="str">
        <v>Nancy Collins</v>
      </c>
      <c r="T10" s="19" t="str">
        <v>P009</v>
      </c>
      <c r="U10" s="19" t="str">
        <v>Monitor</v>
      </c>
      <c r="V10" s="19" t="str">
        <v>Electronics</v>
      </c>
      <c r="W10" s="24">
        <v>5</v>
      </c>
      <c r="X10" s="26">
        <v>249.99</v>
      </c>
      <c r="Y10" s="19" t="str">
        <v>Credit Card</v>
      </c>
      <c r="Z10" s="28" t="str">
        <v>West</v>
      </c>
      <c r="AA10" s="19" t="str">
        <v>Standard</v>
      </c>
      <c r="AB10" s="22">
        <v>44525</v>
      </c>
      <c r="AC10" s="29">
        <v>1249.95</v>
      </c>
    </row>
    <row r="11" spans="1:29" x14ac:dyDescent="0.25">
      <c r="A11" s="19" t="str">
        <v>TRX0220</v>
      </c>
      <c r="B11" s="22">
        <v>45450</v>
      </c>
      <c r="C11" s="19" t="str">
        <v>CUST003</v>
      </c>
      <c r="D11" s="19" t="str">
        <v>Michael Brown</v>
      </c>
      <c r="E11" s="19" t="str">
        <v>P008</v>
      </c>
      <c r="F11" s="19" t="str">
        <v>Bookshelf</v>
      </c>
      <c r="G11" s="19" t="str">
        <v>Furniture</v>
      </c>
      <c r="H11" s="24">
        <v>2</v>
      </c>
      <c r="I11" s="26">
        <v>149.99</v>
      </c>
      <c r="J11" s="19" t="str">
        <v>Cash</v>
      </c>
      <c r="K11" s="28" t="str">
        <v>East</v>
      </c>
      <c r="L11" s="19" t="str">
        <v>Premium</v>
      </c>
      <c r="M11" s="22">
        <v>44645</v>
      </c>
      <c r="N11" s="33">
        <v>299.98</v>
      </c>
      <c r="O11" s="27"/>
      <c r="P11" s="19" t="str">
        <v>TRX0194</v>
      </c>
      <c r="Q11" s="22">
        <v>45428</v>
      </c>
      <c r="R11" s="19" t="str">
        <v>CUST006</v>
      </c>
      <c r="S11" s="19" t="str">
        <v>Lisa Anderson</v>
      </c>
      <c r="T11" s="19" t="str">
        <v>P008</v>
      </c>
      <c r="U11" s="19" t="str">
        <v>Bookshelf</v>
      </c>
      <c r="V11" s="19" t="str">
        <v>Furniture</v>
      </c>
      <c r="W11" s="24">
        <v>2</v>
      </c>
      <c r="X11" s="26">
        <v>149.99</v>
      </c>
      <c r="Y11" s="19" t="str">
        <v>Credit Card</v>
      </c>
      <c r="Z11" s="28" t="str">
        <v>West</v>
      </c>
      <c r="AA11" s="19" t="str">
        <v>Basic</v>
      </c>
      <c r="AB11" s="22">
        <v>44823</v>
      </c>
      <c r="AC11" s="30">
        <v>299.98</v>
      </c>
    </row>
    <row r="12" spans="1:29" x14ac:dyDescent="0.25">
      <c r="A12" s="19" t="str">
        <v>TRX0093</v>
      </c>
      <c r="B12" s="22">
        <v>45452</v>
      </c>
      <c r="C12" s="19" t="str">
        <v>CUST050</v>
      </c>
      <c r="D12" s="19" t="str">
        <v>Julie Foster</v>
      </c>
      <c r="E12" s="19" t="str">
        <v>P005</v>
      </c>
      <c r="F12" s="19" t="str">
        <v>Blender</v>
      </c>
      <c r="G12" s="19" t="str">
        <v>Appliances</v>
      </c>
      <c r="H12" s="24">
        <v>4</v>
      </c>
      <c r="I12" s="26">
        <v>59.99</v>
      </c>
      <c r="J12" s="19" t="str">
        <v>Cash</v>
      </c>
      <c r="K12" s="28" t="str">
        <v>East</v>
      </c>
      <c r="L12" s="19" t="str">
        <v>Standard</v>
      </c>
      <c r="M12" s="22">
        <v>44435</v>
      </c>
      <c r="N12" s="33">
        <v>239.96</v>
      </c>
      <c r="O12" s="27"/>
      <c r="P12" s="19" t="str">
        <v>TRX0130</v>
      </c>
      <c r="Q12" s="22">
        <v>45430</v>
      </c>
      <c r="R12" s="19" t="str">
        <v>CUST002</v>
      </c>
      <c r="S12" s="19" t="str">
        <v>Emma Wilson</v>
      </c>
      <c r="T12" s="19" t="str">
        <v>P008</v>
      </c>
      <c r="U12" s="19" t="str">
        <v>Bookshelf</v>
      </c>
      <c r="V12" s="19" t="str">
        <v>Furniture</v>
      </c>
      <c r="W12" s="24">
        <v>3</v>
      </c>
      <c r="X12" s="26">
        <v>149.99</v>
      </c>
      <c r="Y12" s="19" t="str">
        <v>Credit Card</v>
      </c>
      <c r="Z12" s="28" t="str">
        <v>West</v>
      </c>
      <c r="AA12" s="19" t="str">
        <v>Premium</v>
      </c>
      <c r="AB12" s="22">
        <v>45068</v>
      </c>
      <c r="AC12" s="30">
        <v>449.97</v>
      </c>
    </row>
    <row r="13" spans="1:29" x14ac:dyDescent="0.25">
      <c r="A13" s="19" t="str">
        <v>TRX0044</v>
      </c>
      <c r="B13" s="22">
        <v>45459</v>
      </c>
      <c r="C13" s="19" t="str">
        <v>CUST029</v>
      </c>
      <c r="D13" s="19" t="str">
        <v>Edward Mitchell</v>
      </c>
      <c r="E13" s="19" t="str">
        <v>P001</v>
      </c>
      <c r="F13" s="19" t="str">
        <v>Laptop</v>
      </c>
      <c r="G13" s="19" t="str">
        <v>Electronics</v>
      </c>
      <c r="H13" s="24">
        <v>5</v>
      </c>
      <c r="I13" s="26">
        <v>899.99</v>
      </c>
      <c r="J13" s="19" t="str">
        <v>PayPal</v>
      </c>
      <c r="K13" s="28" t="str">
        <v>East</v>
      </c>
      <c r="L13" s="19" t="str">
        <v>Premium</v>
      </c>
      <c r="M13" s="22">
        <v>45278</v>
      </c>
      <c r="N13" s="35">
        <v>4499.95</v>
      </c>
      <c r="O13" s="27"/>
      <c r="P13" s="19" t="str">
        <v>TRX0041</v>
      </c>
      <c r="Q13" s="22">
        <v>45432</v>
      </c>
      <c r="R13" s="19" t="str">
        <v>CUST021</v>
      </c>
      <c r="S13" s="19" t="str">
        <v>Kevin Scott</v>
      </c>
      <c r="T13" s="19" t="str">
        <v>P001</v>
      </c>
      <c r="U13" s="19" t="str">
        <v>Laptop</v>
      </c>
      <c r="V13" s="19" t="str">
        <v>Electronics</v>
      </c>
      <c r="W13" s="24">
        <v>1</v>
      </c>
      <c r="X13" s="26">
        <v>899.99</v>
      </c>
      <c r="Y13" s="19" t="str">
        <v>Credit Card</v>
      </c>
      <c r="Z13" s="28" t="str">
        <v>West</v>
      </c>
      <c r="AA13" s="19" t="str">
        <v>Premium</v>
      </c>
      <c r="AB13" s="22">
        <v>44578</v>
      </c>
      <c r="AC13" s="30">
        <v>899.99</v>
      </c>
    </row>
    <row r="14" spans="1:29" x14ac:dyDescent="0.25">
      <c r="A14" s="19" t="str">
        <v>TRX0150</v>
      </c>
      <c r="B14" s="22">
        <v>45460</v>
      </c>
      <c r="C14" s="19" t="str">
        <v>CUST008</v>
      </c>
      <c r="D14" s="19" t="str">
        <v>Jennifer Taylor</v>
      </c>
      <c r="E14" s="19" t="str">
        <v>P007</v>
      </c>
      <c r="F14" s="19" t="str">
        <v>Desk</v>
      </c>
      <c r="G14" s="19" t="str">
        <v>Furniture</v>
      </c>
      <c r="H14" s="24">
        <v>2</v>
      </c>
      <c r="I14" s="26">
        <v>299.99</v>
      </c>
      <c r="J14" s="19" t="str">
        <v>Debit Card</v>
      </c>
      <c r="K14" s="28" t="str">
        <v>East</v>
      </c>
      <c r="L14" s="19" t="str">
        <v>Standard</v>
      </c>
      <c r="M14" s="22">
        <v>45253</v>
      </c>
      <c r="N14" s="33">
        <v>599.98</v>
      </c>
      <c r="O14" s="27"/>
      <c r="P14" s="19" t="str">
        <v>TRX0015</v>
      </c>
      <c r="Q14" s="22">
        <v>45440</v>
      </c>
      <c r="R14" s="19" t="str">
        <v>CUST008</v>
      </c>
      <c r="S14" s="19" t="str">
        <v>Jennifer Taylor</v>
      </c>
      <c r="T14" s="19" t="str">
        <v>P002</v>
      </c>
      <c r="U14" s="19" t="str">
        <v>Smartphone</v>
      </c>
      <c r="V14" s="19" t="str">
        <v>Electronics</v>
      </c>
      <c r="W14" s="24">
        <v>5</v>
      </c>
      <c r="X14" s="26">
        <v>699.99</v>
      </c>
      <c r="Y14" s="19" t="str">
        <v>PayPal</v>
      </c>
      <c r="Z14" s="28" t="str">
        <v>West</v>
      </c>
      <c r="AA14" s="19" t="str">
        <v>Standard</v>
      </c>
      <c r="AB14" s="22">
        <v>44407</v>
      </c>
      <c r="AC14" s="32">
        <v>3499.95</v>
      </c>
    </row>
    <row r="15" spans="1:29" x14ac:dyDescent="0.25">
      <c r="A15" s="19" t="str">
        <v>TRX0184</v>
      </c>
      <c r="B15" s="22">
        <v>45471</v>
      </c>
      <c r="C15" s="19" t="str">
        <v>CUST046</v>
      </c>
      <c r="D15" s="19" t="str">
        <v>Kathleen Bennett</v>
      </c>
      <c r="E15" s="19" t="str">
        <v>P002</v>
      </c>
      <c r="F15" s="19" t="str">
        <v>Smartphone</v>
      </c>
      <c r="G15" s="19" t="str">
        <v>Electronics</v>
      </c>
      <c r="H15" s="24">
        <v>3</v>
      </c>
      <c r="I15" s="26">
        <v>699.99</v>
      </c>
      <c r="J15" s="19" t="str">
        <v>Credit Card</v>
      </c>
      <c r="K15" s="28" t="str">
        <v>East</v>
      </c>
      <c r="L15" s="19" t="str">
        <v>Premium</v>
      </c>
      <c r="M15" s="22">
        <v>45102</v>
      </c>
      <c r="N15" s="34">
        <v>2099.9700000000003</v>
      </c>
      <c r="O15" s="27"/>
      <c r="P15" s="19" t="str">
        <v>TRX0128</v>
      </c>
      <c r="Q15" s="22">
        <v>45444</v>
      </c>
      <c r="R15" s="19" t="str">
        <v>CUST040</v>
      </c>
      <c r="S15" s="19" t="str">
        <v>Sharon Butler</v>
      </c>
      <c r="T15" s="19" t="str">
        <v>P005</v>
      </c>
      <c r="U15" s="19" t="str">
        <v>Blender</v>
      </c>
      <c r="V15" s="19" t="str">
        <v>Appliances</v>
      </c>
      <c r="W15" s="24">
        <v>2</v>
      </c>
      <c r="X15" s="26">
        <v>59.99</v>
      </c>
      <c r="Y15" s="19" t="str">
        <v>Cash</v>
      </c>
      <c r="Z15" s="28" t="str">
        <v>West</v>
      </c>
      <c r="AA15" s="19" t="str">
        <v>Basic</v>
      </c>
      <c r="AB15" s="22">
        <v>45390</v>
      </c>
      <c r="AC15" s="30">
        <v>119.98</v>
      </c>
    </row>
    <row r="16" spans="1:29" x14ac:dyDescent="0.25">
      <c r="A16" s="19" t="str">
        <v>TRX0104</v>
      </c>
      <c r="B16" s="22">
        <v>45471</v>
      </c>
      <c r="C16" s="19" t="str">
        <v>CUST012</v>
      </c>
      <c r="D16" s="19" t="str">
        <v>Patricia Moore</v>
      </c>
      <c r="E16" s="19" t="str">
        <v>P001</v>
      </c>
      <c r="F16" s="19" t="str">
        <v>Laptop</v>
      </c>
      <c r="G16" s="19" t="str">
        <v>Electronics</v>
      </c>
      <c r="H16" s="24">
        <v>4</v>
      </c>
      <c r="I16" s="26">
        <v>899.99</v>
      </c>
      <c r="J16" s="19" t="str">
        <v>Credit Card</v>
      </c>
      <c r="K16" s="28" t="str">
        <v>East</v>
      </c>
      <c r="L16" s="19" t="str">
        <v>Premium</v>
      </c>
      <c r="M16" s="22">
        <v>44993</v>
      </c>
      <c r="N16" s="35">
        <v>3599.96</v>
      </c>
      <c r="O16" s="27"/>
      <c r="P16" s="19" t="str">
        <v>TRX0061</v>
      </c>
      <c r="Q16" s="22">
        <v>45460</v>
      </c>
      <c r="R16" s="19" t="str">
        <v>CUST028</v>
      </c>
      <c r="S16" s="19" t="str">
        <v>Betty Campbell</v>
      </c>
      <c r="T16" s="19" t="str">
        <v>P005</v>
      </c>
      <c r="U16" s="19" t="str">
        <v>Blender</v>
      </c>
      <c r="V16" s="19" t="str">
        <v>Appliances</v>
      </c>
      <c r="W16" s="24">
        <v>1</v>
      </c>
      <c r="X16" s="26">
        <v>59.99</v>
      </c>
      <c r="Y16" s="19" t="str">
        <v>Debit Card</v>
      </c>
      <c r="Z16" s="28" t="str">
        <v>West</v>
      </c>
      <c r="AA16" s="19" t="str">
        <v>Premium</v>
      </c>
      <c r="AB16" s="22">
        <v>45190</v>
      </c>
      <c r="AC16" s="30">
        <v>59.99</v>
      </c>
    </row>
    <row r="17" spans="1:29" x14ac:dyDescent="0.25">
      <c r="A17" s="19" t="str">
        <v>TRX0127</v>
      </c>
      <c r="B17" s="22">
        <v>45472</v>
      </c>
      <c r="C17" s="19" t="str">
        <v>CUST030</v>
      </c>
      <c r="D17" s="19" t="str">
        <v>Helen Roberts</v>
      </c>
      <c r="E17" s="19" t="str">
        <v>P008</v>
      </c>
      <c r="F17" s="19" t="str">
        <v>Bookshelf</v>
      </c>
      <c r="G17" s="19" t="str">
        <v>Furniture</v>
      </c>
      <c r="H17" s="24">
        <v>1</v>
      </c>
      <c r="I17" s="26">
        <v>149.99</v>
      </c>
      <c r="J17" s="19" t="str">
        <v>PayPal</v>
      </c>
      <c r="K17" s="28" t="str">
        <v>East</v>
      </c>
      <c r="L17" s="19" t="str">
        <v>Basic</v>
      </c>
      <c r="M17" s="22">
        <v>44851</v>
      </c>
      <c r="N17" s="33">
        <v>149.99</v>
      </c>
      <c r="O17" s="27"/>
      <c r="P17" s="19" t="str">
        <v>TRX0007</v>
      </c>
      <c r="Q17" s="22">
        <v>45469</v>
      </c>
      <c r="R17" s="19" t="str">
        <v>CUST009</v>
      </c>
      <c r="S17" s="19" t="str">
        <v>Robert Thomas</v>
      </c>
      <c r="T17" s="19" t="str">
        <v>P010</v>
      </c>
      <c r="U17" s="19" t="str">
        <v>Keyboard</v>
      </c>
      <c r="V17" s="19" t="str">
        <v>Electronics</v>
      </c>
      <c r="W17" s="24">
        <v>2</v>
      </c>
      <c r="X17" s="26">
        <v>89.99</v>
      </c>
      <c r="Y17" s="19" t="str">
        <v>Cash</v>
      </c>
      <c r="Z17" s="28" t="str">
        <v>West</v>
      </c>
      <c r="AA17" s="19" t="str">
        <v>Basic</v>
      </c>
      <c r="AB17" s="22">
        <v>44438</v>
      </c>
      <c r="AC17" s="30">
        <v>179.98</v>
      </c>
    </row>
    <row r="18" spans="1:29" x14ac:dyDescent="0.25">
      <c r="A18" s="19" t="str">
        <v>TRX0113</v>
      </c>
      <c r="B18" s="22">
        <v>45481</v>
      </c>
      <c r="C18" s="19" t="str">
        <v>CUST003</v>
      </c>
      <c r="D18" s="19" t="str">
        <v>Michael Brown</v>
      </c>
      <c r="E18" s="19" t="str">
        <v>P002</v>
      </c>
      <c r="F18" s="19" t="str">
        <v>Smartphone</v>
      </c>
      <c r="G18" s="19" t="str">
        <v>Electronics</v>
      </c>
      <c r="H18" s="24">
        <v>2</v>
      </c>
      <c r="I18" s="26">
        <v>699.99</v>
      </c>
      <c r="J18" s="19" t="str">
        <v>PayPal</v>
      </c>
      <c r="K18" s="28" t="str">
        <v>East</v>
      </c>
      <c r="L18" s="19" t="str">
        <v>Premium</v>
      </c>
      <c r="M18" s="22">
        <v>45389</v>
      </c>
      <c r="N18" s="33">
        <v>1399.98</v>
      </c>
      <c r="O18" s="27"/>
      <c r="P18" s="19" t="str">
        <v>TRX0192</v>
      </c>
      <c r="Q18" s="22">
        <v>45475</v>
      </c>
      <c r="R18" s="19" t="str">
        <v>CUST017</v>
      </c>
      <c r="S18" s="19" t="str">
        <v>Charles Allen</v>
      </c>
      <c r="T18" s="19" t="str">
        <v>P010</v>
      </c>
      <c r="U18" s="19" t="str">
        <v>Keyboard</v>
      </c>
      <c r="V18" s="19" t="str">
        <v>Electronics</v>
      </c>
      <c r="W18" s="24">
        <v>1</v>
      </c>
      <c r="X18" s="26">
        <v>89.99</v>
      </c>
      <c r="Y18" s="19" t="str">
        <v>PayPal</v>
      </c>
      <c r="Z18" s="28" t="str">
        <v>West</v>
      </c>
      <c r="AA18" s="19" t="str">
        <v>Standard</v>
      </c>
      <c r="AB18" s="22">
        <v>44802</v>
      </c>
      <c r="AC18" s="30">
        <v>89.99</v>
      </c>
    </row>
    <row r="19" spans="1:29" x14ac:dyDescent="0.25">
      <c r="A19" s="19" t="str">
        <v>TRX0176</v>
      </c>
      <c r="B19" s="22">
        <v>45510</v>
      </c>
      <c r="C19" s="19" t="str">
        <v>CUST044</v>
      </c>
      <c r="D19" s="19" t="str">
        <v>Cynthia Price</v>
      </c>
      <c r="E19" s="19" t="str">
        <v>P008</v>
      </c>
      <c r="F19" s="19" t="str">
        <v>Bookshelf</v>
      </c>
      <c r="G19" s="19" t="str">
        <v>Furniture</v>
      </c>
      <c r="H19" s="24">
        <v>2</v>
      </c>
      <c r="I19" s="26">
        <v>149.99</v>
      </c>
      <c r="J19" s="19" t="str">
        <v>Debit Card</v>
      </c>
      <c r="K19" s="28" t="str">
        <v>East</v>
      </c>
      <c r="L19" s="19" t="str">
        <v>Standard</v>
      </c>
      <c r="M19" s="22">
        <v>44667</v>
      </c>
      <c r="N19" s="33">
        <v>299.98</v>
      </c>
      <c r="O19" s="27"/>
      <c r="P19" s="19" t="str">
        <v>TRX0169</v>
      </c>
      <c r="Q19" s="22">
        <v>45490</v>
      </c>
      <c r="R19" s="19" t="str">
        <v>CUST047</v>
      </c>
      <c r="S19" s="19" t="str">
        <v>Gerald Murphy</v>
      </c>
      <c r="T19" s="19" t="str">
        <v>P005</v>
      </c>
      <c r="U19" s="19" t="str">
        <v>Blender</v>
      </c>
      <c r="V19" s="19" t="str">
        <v>Appliances</v>
      </c>
      <c r="W19" s="24">
        <v>3</v>
      </c>
      <c r="X19" s="26">
        <v>59.99</v>
      </c>
      <c r="Y19" s="19" t="str">
        <v>Credit Card</v>
      </c>
      <c r="Z19" s="28" t="str">
        <v>West</v>
      </c>
      <c r="AA19" s="19" t="str">
        <v>Basic</v>
      </c>
      <c r="AB19" s="22">
        <v>45130</v>
      </c>
      <c r="AC19" s="30">
        <v>179.97</v>
      </c>
    </row>
    <row r="20" spans="1:29" x14ac:dyDescent="0.25">
      <c r="A20" s="19" t="str">
        <v>TRX0075</v>
      </c>
      <c r="B20" s="22">
        <v>45517</v>
      </c>
      <c r="C20" s="19" t="str">
        <v>CUST020</v>
      </c>
      <c r="D20" s="19" t="str">
        <v>Margaret Wright</v>
      </c>
      <c r="E20" s="19" t="str">
        <v>P009</v>
      </c>
      <c r="F20" s="19" t="str">
        <v>Monitor</v>
      </c>
      <c r="G20" s="19" t="str">
        <v>Electronics</v>
      </c>
      <c r="H20" s="24">
        <v>5</v>
      </c>
      <c r="I20" s="26">
        <v>249.99</v>
      </c>
      <c r="J20" s="19" t="str">
        <v>PayPal</v>
      </c>
      <c r="K20" s="28" t="str">
        <v>East</v>
      </c>
      <c r="L20" s="19" t="str">
        <v>Premium</v>
      </c>
      <c r="M20" s="22">
        <v>44782</v>
      </c>
      <c r="N20" s="33">
        <v>1249.95</v>
      </c>
      <c r="O20" s="27"/>
      <c r="P20" s="19" t="str">
        <v>TRX0065</v>
      </c>
      <c r="Q20" s="22">
        <v>45509</v>
      </c>
      <c r="R20" s="19" t="str">
        <v>CUST016</v>
      </c>
      <c r="S20" s="19" t="str">
        <v>Elizabeth Hall</v>
      </c>
      <c r="T20" s="19" t="str">
        <v>P008</v>
      </c>
      <c r="U20" s="19" t="str">
        <v>Bookshelf</v>
      </c>
      <c r="V20" s="19" t="str">
        <v>Furniture</v>
      </c>
      <c r="W20" s="24">
        <v>2</v>
      </c>
      <c r="X20" s="26">
        <v>149.99</v>
      </c>
      <c r="Y20" s="19" t="str">
        <v>Credit Card</v>
      </c>
      <c r="Z20" s="28" t="str">
        <v>West</v>
      </c>
      <c r="AA20" s="19" t="str">
        <v>Basic</v>
      </c>
      <c r="AB20" s="22">
        <v>44542</v>
      </c>
      <c r="AC20" s="30">
        <v>299.98</v>
      </c>
    </row>
    <row r="21" spans="1:29" x14ac:dyDescent="0.25">
      <c r="A21" s="19" t="str">
        <v>TRX0140</v>
      </c>
      <c r="B21" s="22">
        <v>45522</v>
      </c>
      <c r="C21" s="19" t="str">
        <v>CUST025</v>
      </c>
      <c r="D21" s="19" t="str">
        <v>Mark Carter</v>
      </c>
      <c r="E21" s="19" t="str">
        <v>P010</v>
      </c>
      <c r="F21" s="19" t="str">
        <v>Keyboard</v>
      </c>
      <c r="G21" s="19" t="str">
        <v>Electronics</v>
      </c>
      <c r="H21" s="24">
        <v>2</v>
      </c>
      <c r="I21" s="26">
        <v>89.99</v>
      </c>
      <c r="J21" s="19" t="str">
        <v>Cash</v>
      </c>
      <c r="K21" s="28" t="str">
        <v>East</v>
      </c>
      <c r="L21" s="19" t="str">
        <v>Premium</v>
      </c>
      <c r="M21" s="22">
        <v>44972</v>
      </c>
      <c r="N21" s="33">
        <v>179.98</v>
      </c>
      <c r="O21" s="27"/>
      <c r="P21" s="19" t="str">
        <v>TRX0170</v>
      </c>
      <c r="Q21" s="22">
        <v>45532</v>
      </c>
      <c r="R21" s="19" t="str">
        <v>CUST034</v>
      </c>
      <c r="S21" s="19" t="str">
        <v>Carol Evans</v>
      </c>
      <c r="T21" s="19" t="str">
        <v>P003</v>
      </c>
      <c r="U21" s="19" t="str">
        <v>Headphones</v>
      </c>
      <c r="V21" s="19" t="str">
        <v>Electronics</v>
      </c>
      <c r="W21" s="24">
        <v>3</v>
      </c>
      <c r="X21" s="26">
        <v>149.99</v>
      </c>
      <c r="Y21" s="19" t="str">
        <v>Cash</v>
      </c>
      <c r="Z21" s="28" t="str">
        <v>West</v>
      </c>
      <c r="AA21" s="19" t="str">
        <v>Premium</v>
      </c>
      <c r="AB21" s="22">
        <v>45212</v>
      </c>
      <c r="AC21" s="30">
        <v>449.97</v>
      </c>
    </row>
    <row r="22" spans="1:29" x14ac:dyDescent="0.25">
      <c r="A22" s="19" t="str">
        <v>TRX0132</v>
      </c>
      <c r="B22" s="22">
        <v>45523</v>
      </c>
      <c r="C22" s="19" t="str">
        <v>CUST047</v>
      </c>
      <c r="D22" s="19" t="str">
        <v>Gerald Murphy</v>
      </c>
      <c r="E22" s="19" t="str">
        <v>P001</v>
      </c>
      <c r="F22" s="19" t="str">
        <v>Laptop</v>
      </c>
      <c r="G22" s="19" t="str">
        <v>Electronics</v>
      </c>
      <c r="H22" s="24">
        <v>5</v>
      </c>
      <c r="I22" s="26">
        <v>899.99</v>
      </c>
      <c r="J22" s="19" t="str">
        <v>Debit Card</v>
      </c>
      <c r="K22" s="28" t="str">
        <v>East</v>
      </c>
      <c r="L22" s="19" t="str">
        <v>Basic</v>
      </c>
      <c r="M22" s="22">
        <v>44526</v>
      </c>
      <c r="N22" s="35">
        <v>4499.95</v>
      </c>
      <c r="O22" s="27"/>
      <c r="P22" s="19" t="str">
        <v>TRX0099</v>
      </c>
      <c r="Q22" s="22">
        <v>45537</v>
      </c>
      <c r="R22" s="19" t="str">
        <v>CUST034</v>
      </c>
      <c r="S22" s="19" t="str">
        <v>Carol Evans</v>
      </c>
      <c r="T22" s="19" t="str">
        <v>P009</v>
      </c>
      <c r="U22" s="19" t="str">
        <v>Monitor</v>
      </c>
      <c r="V22" s="19" t="str">
        <v>Electronics</v>
      </c>
      <c r="W22" s="24">
        <v>1</v>
      </c>
      <c r="X22" s="26">
        <v>249.99</v>
      </c>
      <c r="Y22" s="19" t="str">
        <v>Credit Card</v>
      </c>
      <c r="Z22" s="28" t="str">
        <v>West</v>
      </c>
      <c r="AA22" s="19" t="str">
        <v>Premium</v>
      </c>
      <c r="AB22" s="22">
        <v>44685</v>
      </c>
      <c r="AC22" s="30">
        <v>249.99</v>
      </c>
    </row>
    <row r="23" spans="1:29" x14ac:dyDescent="0.25">
      <c r="A23" s="19" t="str">
        <v>TRX0031</v>
      </c>
      <c r="B23" s="22">
        <v>45523</v>
      </c>
      <c r="C23" s="19" t="str">
        <v>CUST036</v>
      </c>
      <c r="D23" s="19" t="str">
        <v>Nancy Collins</v>
      </c>
      <c r="E23" s="19" t="str">
        <v>P003</v>
      </c>
      <c r="F23" s="19" t="str">
        <v>Headphones</v>
      </c>
      <c r="G23" s="19" t="str">
        <v>Electronics</v>
      </c>
      <c r="H23" s="24">
        <v>3</v>
      </c>
      <c r="I23" s="26">
        <v>149.99</v>
      </c>
      <c r="J23" s="19" t="str">
        <v>PayPal</v>
      </c>
      <c r="K23" s="28" t="str">
        <v>East</v>
      </c>
      <c r="L23" s="19" t="str">
        <v>Basic</v>
      </c>
      <c r="M23" s="22">
        <v>44574</v>
      </c>
      <c r="N23" s="33">
        <v>449.97</v>
      </c>
      <c r="O23" s="27"/>
      <c r="P23" s="19" t="str">
        <v>TRX0161</v>
      </c>
      <c r="Q23" s="22">
        <v>45545</v>
      </c>
      <c r="R23" s="19" t="str">
        <v>CUST017</v>
      </c>
      <c r="S23" s="19" t="str">
        <v>Charles Allen</v>
      </c>
      <c r="T23" s="19" t="str">
        <v>P004</v>
      </c>
      <c r="U23" s="19" t="str">
        <v>Coffee Maker</v>
      </c>
      <c r="V23" s="19" t="str">
        <v>Appliances</v>
      </c>
      <c r="W23" s="24">
        <v>1</v>
      </c>
      <c r="X23" s="26">
        <v>79.989999999999995</v>
      </c>
      <c r="Y23" s="19" t="str">
        <v>Cash</v>
      </c>
      <c r="Z23" s="28" t="str">
        <v>West</v>
      </c>
      <c r="AA23" s="19" t="str">
        <v>Basic</v>
      </c>
      <c r="AB23" s="22">
        <v>44693</v>
      </c>
      <c r="AC23" s="30">
        <v>79.989999999999995</v>
      </c>
    </row>
    <row r="24" spans="1:29" x14ac:dyDescent="0.25">
      <c r="A24" s="19" t="str">
        <v>TRX0142</v>
      </c>
      <c r="B24" s="22">
        <v>45544</v>
      </c>
      <c r="C24" s="19" t="str">
        <v>CUST002</v>
      </c>
      <c r="D24" s="19" t="str">
        <v>Emma Wilson</v>
      </c>
      <c r="E24" s="19" t="str">
        <v>P005</v>
      </c>
      <c r="F24" s="19" t="str">
        <v>Blender</v>
      </c>
      <c r="G24" s="19" t="str">
        <v>Appliances</v>
      </c>
      <c r="H24" s="24">
        <v>3</v>
      </c>
      <c r="I24" s="26">
        <v>59.99</v>
      </c>
      <c r="J24" s="19" t="str">
        <v>PayPal</v>
      </c>
      <c r="K24" s="28" t="str">
        <v>East</v>
      </c>
      <c r="L24" s="19" t="str">
        <v>Standard</v>
      </c>
      <c r="M24" s="22">
        <v>44748</v>
      </c>
      <c r="N24" s="33">
        <v>179.97</v>
      </c>
      <c r="O24" s="27"/>
      <c r="P24" s="19" t="str">
        <v>TRX0158</v>
      </c>
      <c r="Q24" s="22">
        <v>45579</v>
      </c>
      <c r="R24" s="19" t="str">
        <v>CUST027</v>
      </c>
      <c r="S24" s="19" t="str">
        <v>George Adams</v>
      </c>
      <c r="T24" s="19" t="str">
        <v>P001</v>
      </c>
      <c r="U24" s="19" t="str">
        <v>Laptop</v>
      </c>
      <c r="V24" s="19" t="str">
        <v>Electronics</v>
      </c>
      <c r="W24" s="24">
        <v>3</v>
      </c>
      <c r="X24" s="26">
        <v>899.99</v>
      </c>
      <c r="Y24" s="19" t="str">
        <v>PayPal</v>
      </c>
      <c r="Z24" s="28" t="str">
        <v>West</v>
      </c>
      <c r="AA24" s="19" t="str">
        <v>Basic</v>
      </c>
      <c r="AB24" s="22">
        <v>45215</v>
      </c>
      <c r="AC24" s="32">
        <v>2699.9700000000003</v>
      </c>
    </row>
    <row r="25" spans="1:29" x14ac:dyDescent="0.25">
      <c r="A25" s="19" t="str">
        <v>TRX0054</v>
      </c>
      <c r="B25" s="22">
        <v>45551</v>
      </c>
      <c r="C25" s="19" t="str">
        <v>CUST004</v>
      </c>
      <c r="D25" s="19" t="str">
        <v>Sarah Davis</v>
      </c>
      <c r="E25" s="19" t="str">
        <v>P006</v>
      </c>
      <c r="F25" s="19" t="str">
        <v>Office Chair</v>
      </c>
      <c r="G25" s="19" t="str">
        <v>Furniture</v>
      </c>
      <c r="H25" s="24">
        <v>4</v>
      </c>
      <c r="I25" s="26">
        <v>199.99</v>
      </c>
      <c r="J25" s="19" t="str">
        <v>Debit Card</v>
      </c>
      <c r="K25" s="28" t="str">
        <v>East</v>
      </c>
      <c r="L25" s="19" t="str">
        <v>Basic</v>
      </c>
      <c r="M25" s="22">
        <v>44458</v>
      </c>
      <c r="N25" s="33">
        <v>799.96</v>
      </c>
      <c r="O25" s="27"/>
      <c r="P25" s="19" t="str">
        <v>TRX0190</v>
      </c>
      <c r="Q25" s="22">
        <v>45583</v>
      </c>
      <c r="R25" s="19" t="str">
        <v>CUST039</v>
      </c>
      <c r="S25" s="19" t="str">
        <v>Lawrence Reed</v>
      </c>
      <c r="T25" s="19" t="str">
        <v>P003</v>
      </c>
      <c r="U25" s="19" t="str">
        <v>Headphones</v>
      </c>
      <c r="V25" s="19" t="str">
        <v>Electronics</v>
      </c>
      <c r="W25" s="24">
        <v>2</v>
      </c>
      <c r="X25" s="26">
        <v>149.99</v>
      </c>
      <c r="Y25" s="19" t="str">
        <v>Credit Card</v>
      </c>
      <c r="Z25" s="28" t="str">
        <v>West</v>
      </c>
      <c r="AA25" s="19" t="str">
        <v>Basic</v>
      </c>
      <c r="AB25" s="22">
        <v>44916</v>
      </c>
      <c r="AC25" s="30">
        <v>299.98</v>
      </c>
    </row>
    <row r="26" spans="1:29" x14ac:dyDescent="0.25">
      <c r="A26" s="19" t="str">
        <v>TRX0077</v>
      </c>
      <c r="B26" s="22">
        <v>45554</v>
      </c>
      <c r="C26" s="19" t="str">
        <v>CUST019</v>
      </c>
      <c r="D26" s="19" t="str">
        <v>Daniel King</v>
      </c>
      <c r="E26" s="19" t="str">
        <v>P010</v>
      </c>
      <c r="F26" s="19" t="str">
        <v>Keyboard</v>
      </c>
      <c r="G26" s="19" t="str">
        <v>Electronics</v>
      </c>
      <c r="H26" s="24">
        <v>5</v>
      </c>
      <c r="I26" s="26">
        <v>89.99</v>
      </c>
      <c r="J26" s="19" t="str">
        <v>Credit Card</v>
      </c>
      <c r="K26" s="28" t="str">
        <v>East</v>
      </c>
      <c r="L26" s="19" t="str">
        <v>Premium</v>
      </c>
      <c r="M26" s="22">
        <v>44446</v>
      </c>
      <c r="N26" s="33">
        <v>449.95</v>
      </c>
      <c r="O26" s="27"/>
      <c r="P26" s="19" t="str">
        <v>TRX0109</v>
      </c>
      <c r="Q26" s="22">
        <v>45604</v>
      </c>
      <c r="R26" s="19" t="str">
        <v>CUST010</v>
      </c>
      <c r="S26" s="19" t="str">
        <v>Maria Garcia</v>
      </c>
      <c r="T26" s="19" t="str">
        <v>P008</v>
      </c>
      <c r="U26" s="19" t="str">
        <v>Bookshelf</v>
      </c>
      <c r="V26" s="19" t="str">
        <v>Furniture</v>
      </c>
      <c r="W26" s="24">
        <v>2</v>
      </c>
      <c r="X26" s="26">
        <v>149.99</v>
      </c>
      <c r="Y26" s="19" t="str">
        <v>Credit Card</v>
      </c>
      <c r="Z26" s="28" t="str">
        <v>West</v>
      </c>
      <c r="AA26" s="19" t="str">
        <v>Premium</v>
      </c>
      <c r="AB26" s="22">
        <v>44848</v>
      </c>
      <c r="AC26" s="30">
        <v>299.98</v>
      </c>
    </row>
    <row r="27" spans="1:29" x14ac:dyDescent="0.25">
      <c r="A27" s="19" t="str">
        <v>TRX0111</v>
      </c>
      <c r="B27" s="22">
        <v>45554</v>
      </c>
      <c r="C27" s="19" t="str">
        <v>CUST011</v>
      </c>
      <c r="D27" s="19" t="str">
        <v>William White</v>
      </c>
      <c r="E27" s="19" t="str">
        <v>P003</v>
      </c>
      <c r="F27" s="19" t="str">
        <v>Headphones</v>
      </c>
      <c r="G27" s="19" t="str">
        <v>Electronics</v>
      </c>
      <c r="H27" s="24">
        <v>1</v>
      </c>
      <c r="I27" s="26">
        <v>149.99</v>
      </c>
      <c r="J27" s="19" t="str">
        <v>PayPal</v>
      </c>
      <c r="K27" s="28" t="str">
        <v>East</v>
      </c>
      <c r="L27" s="19" t="str">
        <v>Standard</v>
      </c>
      <c r="M27" s="22">
        <v>44482</v>
      </c>
      <c r="N27" s="33">
        <v>149.99</v>
      </c>
      <c r="O27" s="27"/>
      <c r="P27" s="19" t="str">
        <v>TRX0172</v>
      </c>
      <c r="Q27" s="22">
        <v>45607</v>
      </c>
      <c r="R27" s="19" t="str">
        <v>CUST023</v>
      </c>
      <c r="S27" s="19" t="str">
        <v>Paul Baker</v>
      </c>
      <c r="T27" s="19" t="str">
        <v>P005</v>
      </c>
      <c r="U27" s="19" t="str">
        <v>Blender</v>
      </c>
      <c r="V27" s="19" t="str">
        <v>Appliances</v>
      </c>
      <c r="W27" s="24">
        <v>5</v>
      </c>
      <c r="X27" s="26">
        <v>59.99</v>
      </c>
      <c r="Y27" s="19" t="str">
        <v>PayPal</v>
      </c>
      <c r="Z27" s="28" t="str">
        <v>West</v>
      </c>
      <c r="AA27" s="19" t="str">
        <v>Premium</v>
      </c>
      <c r="AB27" s="22">
        <v>44694</v>
      </c>
      <c r="AC27" s="30">
        <v>299.95</v>
      </c>
    </row>
    <row r="28" spans="1:29" x14ac:dyDescent="0.25">
      <c r="A28" s="19" t="str">
        <v>TRX0119</v>
      </c>
      <c r="B28" s="22">
        <v>45560</v>
      </c>
      <c r="C28" s="19" t="str">
        <v>CUST014</v>
      </c>
      <c r="D28" s="19" t="str">
        <v>Linda Martin</v>
      </c>
      <c r="E28" s="19" t="str">
        <v>P008</v>
      </c>
      <c r="F28" s="19" t="str">
        <v>Bookshelf</v>
      </c>
      <c r="G28" s="19" t="str">
        <v>Furniture</v>
      </c>
      <c r="H28" s="24">
        <v>3</v>
      </c>
      <c r="I28" s="26">
        <v>149.99</v>
      </c>
      <c r="J28" s="19" t="str">
        <v>PayPal</v>
      </c>
      <c r="K28" s="28" t="str">
        <v>East</v>
      </c>
      <c r="L28" s="19" t="str">
        <v>Basic</v>
      </c>
      <c r="M28" s="22">
        <v>44886</v>
      </c>
      <c r="N28" s="33">
        <v>449.97</v>
      </c>
      <c r="O28" s="27"/>
      <c r="P28" s="19" t="str">
        <v>TRX0076</v>
      </c>
      <c r="Q28" s="22">
        <v>45607</v>
      </c>
      <c r="R28" s="19" t="str">
        <v>CUST012</v>
      </c>
      <c r="S28" s="19" t="str">
        <v>Patricia Moore</v>
      </c>
      <c r="T28" s="19" t="str">
        <v>P009</v>
      </c>
      <c r="U28" s="19" t="str">
        <v>Monitor</v>
      </c>
      <c r="V28" s="19" t="str">
        <v>Electronics</v>
      </c>
      <c r="W28" s="24">
        <v>4</v>
      </c>
      <c r="X28" s="26">
        <v>249.99</v>
      </c>
      <c r="Y28" s="19" t="str">
        <v>Credit Card</v>
      </c>
      <c r="Z28" s="28" t="str">
        <v>West</v>
      </c>
      <c r="AA28" s="19" t="str">
        <v>Standard</v>
      </c>
      <c r="AB28" s="22">
        <v>44659</v>
      </c>
      <c r="AC28" s="30">
        <v>999.96</v>
      </c>
    </row>
    <row r="29" spans="1:29" x14ac:dyDescent="0.25">
      <c r="A29" s="19" t="str">
        <v>TRX0129</v>
      </c>
      <c r="B29" s="22">
        <v>45564</v>
      </c>
      <c r="C29" s="19" t="str">
        <v>CUST015</v>
      </c>
      <c r="D29" s="19" t="str">
        <v>Richard Lee</v>
      </c>
      <c r="E29" s="19" t="str">
        <v>P006</v>
      </c>
      <c r="F29" s="19" t="str">
        <v>Office Chair</v>
      </c>
      <c r="G29" s="19" t="str">
        <v>Furniture</v>
      </c>
      <c r="H29" s="24">
        <v>1</v>
      </c>
      <c r="I29" s="26">
        <v>199.99</v>
      </c>
      <c r="J29" s="19" t="str">
        <v>Debit Card</v>
      </c>
      <c r="K29" s="28" t="str">
        <v>East</v>
      </c>
      <c r="L29" s="19" t="str">
        <v>Standard</v>
      </c>
      <c r="M29" s="22">
        <v>44953</v>
      </c>
      <c r="N29" s="33">
        <v>199.99</v>
      </c>
      <c r="O29" s="27"/>
      <c r="P29" s="19" t="str">
        <v>TRX0033</v>
      </c>
      <c r="Q29" s="22">
        <v>45613</v>
      </c>
      <c r="R29" s="19" t="str">
        <v>CUST025</v>
      </c>
      <c r="S29" s="19" t="str">
        <v>Mark Carter</v>
      </c>
      <c r="T29" s="19" t="str">
        <v>P002</v>
      </c>
      <c r="U29" s="19" t="str">
        <v>Smartphone</v>
      </c>
      <c r="V29" s="19" t="str">
        <v>Electronics</v>
      </c>
      <c r="W29" s="24">
        <v>2</v>
      </c>
      <c r="X29" s="26">
        <v>699.99</v>
      </c>
      <c r="Y29" s="19" t="str">
        <v>PayPal</v>
      </c>
      <c r="Z29" s="28" t="str">
        <v>West</v>
      </c>
      <c r="AA29" s="19" t="str">
        <v>Standard</v>
      </c>
      <c r="AB29" s="22">
        <v>44770</v>
      </c>
      <c r="AC29" s="29">
        <v>1399.98</v>
      </c>
    </row>
    <row r="30" spans="1:29" x14ac:dyDescent="0.25">
      <c r="A30" s="19" t="str">
        <v>TRX0055</v>
      </c>
      <c r="B30" s="22">
        <v>45573</v>
      </c>
      <c r="C30" s="19" t="str">
        <v>CUST016</v>
      </c>
      <c r="D30" s="19" t="str">
        <v>Elizabeth Hall</v>
      </c>
      <c r="E30" s="19" t="str">
        <v>P002</v>
      </c>
      <c r="F30" s="19" t="str">
        <v>Smartphone</v>
      </c>
      <c r="G30" s="19" t="str">
        <v>Electronics</v>
      </c>
      <c r="H30" s="24">
        <v>2</v>
      </c>
      <c r="I30" s="26">
        <v>699.99</v>
      </c>
      <c r="J30" s="19" t="str">
        <v>Debit Card</v>
      </c>
      <c r="K30" s="28" t="str">
        <v>East</v>
      </c>
      <c r="L30" s="19" t="str">
        <v>Premium</v>
      </c>
      <c r="M30" s="22">
        <v>45274</v>
      </c>
      <c r="N30" s="33">
        <v>1399.98</v>
      </c>
      <c r="O30" s="27"/>
      <c r="P30" s="19" t="str">
        <v>TRX0145</v>
      </c>
      <c r="Q30" s="22">
        <v>45619</v>
      </c>
      <c r="R30" s="19" t="str">
        <v>CUST033</v>
      </c>
      <c r="S30" s="19" t="str">
        <v>Frank Torres</v>
      </c>
      <c r="T30" s="19" t="str">
        <v>P005</v>
      </c>
      <c r="U30" s="19" t="str">
        <v>Blender</v>
      </c>
      <c r="V30" s="19" t="str">
        <v>Appliances</v>
      </c>
      <c r="W30" s="24">
        <v>1</v>
      </c>
      <c r="X30" s="26">
        <v>59.99</v>
      </c>
      <c r="Y30" s="19" t="str">
        <v>Debit Card</v>
      </c>
      <c r="Z30" s="28" t="str">
        <v>West</v>
      </c>
      <c r="AA30" s="19" t="str">
        <v>Standard</v>
      </c>
      <c r="AB30" s="22">
        <v>44560</v>
      </c>
      <c r="AC30" s="30">
        <v>59.99</v>
      </c>
    </row>
    <row r="31" spans="1:29" x14ac:dyDescent="0.25">
      <c r="A31" s="19" t="str">
        <v>TRX0173</v>
      </c>
      <c r="B31" s="22">
        <v>45581</v>
      </c>
      <c r="C31" s="19" t="str">
        <v>CUST018</v>
      </c>
      <c r="D31" s="19" t="str">
        <v>Barbara Young</v>
      </c>
      <c r="E31" s="19" t="str">
        <v>P002</v>
      </c>
      <c r="F31" s="19" t="str">
        <v>Smartphone</v>
      </c>
      <c r="G31" s="19" t="str">
        <v>Electronics</v>
      </c>
      <c r="H31" s="24">
        <v>5</v>
      </c>
      <c r="I31" s="26">
        <v>699.99</v>
      </c>
      <c r="J31" s="19" t="str">
        <v>Cash</v>
      </c>
      <c r="K31" s="28" t="str">
        <v>East</v>
      </c>
      <c r="L31" s="19" t="str">
        <v>Standard</v>
      </c>
      <c r="M31" s="22">
        <v>45008</v>
      </c>
      <c r="N31" s="35">
        <v>3499.95</v>
      </c>
      <c r="O31" s="27"/>
      <c r="P31" s="19" t="str">
        <v>TRX0148</v>
      </c>
      <c r="Q31" s="22">
        <v>45619</v>
      </c>
      <c r="R31" s="19" t="str">
        <v>CUST004</v>
      </c>
      <c r="S31" s="19" t="str">
        <v>Sarah Davis</v>
      </c>
      <c r="T31" s="19" t="str">
        <v>P002</v>
      </c>
      <c r="U31" s="19" t="str">
        <v>Smartphone</v>
      </c>
      <c r="V31" s="19" t="str">
        <v>Electronics</v>
      </c>
      <c r="W31" s="24">
        <v>3</v>
      </c>
      <c r="X31" s="26">
        <v>699.99</v>
      </c>
      <c r="Y31" s="19" t="str">
        <v>PayPal</v>
      </c>
      <c r="Z31" s="28" t="str">
        <v>West</v>
      </c>
      <c r="AA31" s="19" t="str">
        <v>Standard</v>
      </c>
      <c r="AB31" s="22">
        <v>44583</v>
      </c>
      <c r="AC31" s="29">
        <v>2099.9700000000003</v>
      </c>
    </row>
    <row r="32" spans="1:29" x14ac:dyDescent="0.25">
      <c r="A32" s="19" t="str">
        <v>TRX0189</v>
      </c>
      <c r="B32" s="22">
        <v>45581</v>
      </c>
      <c r="C32" s="19" t="str">
        <v>CUST040</v>
      </c>
      <c r="D32" s="19" t="str">
        <v>Sharon Butler</v>
      </c>
      <c r="E32" s="19" t="str">
        <v>P001</v>
      </c>
      <c r="F32" s="19" t="str">
        <v>Laptop</v>
      </c>
      <c r="G32" s="19" t="str">
        <v>Electronics</v>
      </c>
      <c r="H32" s="24">
        <v>1</v>
      </c>
      <c r="I32" s="26">
        <v>899.99</v>
      </c>
      <c r="J32" s="19" t="str">
        <v>Credit Card</v>
      </c>
      <c r="K32" s="28" t="str">
        <v>East</v>
      </c>
      <c r="L32" s="19" t="str">
        <v>Standard</v>
      </c>
      <c r="M32" s="22">
        <v>45369</v>
      </c>
      <c r="N32" s="33">
        <v>899.99</v>
      </c>
      <c r="O32" s="27"/>
      <c r="P32" s="19" t="str">
        <v>TRX0201</v>
      </c>
      <c r="Q32" s="22">
        <v>45627</v>
      </c>
      <c r="R32" s="19" t="str">
        <v>CUST025</v>
      </c>
      <c r="S32" s="19" t="str">
        <v>Mark Carter</v>
      </c>
      <c r="T32" s="19" t="str">
        <v>P002</v>
      </c>
      <c r="U32" s="19" t="str">
        <v>Smartphone</v>
      </c>
      <c r="V32" s="19" t="str">
        <v>Electronics</v>
      </c>
      <c r="W32" s="24">
        <v>5</v>
      </c>
      <c r="X32" s="26">
        <v>699.99</v>
      </c>
      <c r="Y32" s="19" t="str">
        <v>Debit Card</v>
      </c>
      <c r="Z32" s="28" t="str">
        <v>West</v>
      </c>
      <c r="AA32" s="19" t="str">
        <v>Standard</v>
      </c>
      <c r="AB32" s="22">
        <v>44944</v>
      </c>
      <c r="AC32" s="32">
        <v>3499.95</v>
      </c>
    </row>
    <row r="33" spans="1:29" x14ac:dyDescent="0.25">
      <c r="A33" s="19" t="str">
        <v>TRX0137</v>
      </c>
      <c r="B33" s="22">
        <v>45629</v>
      </c>
      <c r="C33" s="19" t="str">
        <v>CUST011</v>
      </c>
      <c r="D33" s="19" t="str">
        <v>William White</v>
      </c>
      <c r="E33" s="19" t="str">
        <v>P009</v>
      </c>
      <c r="F33" s="19" t="str">
        <v>Monitor</v>
      </c>
      <c r="G33" s="19" t="str">
        <v>Electronics</v>
      </c>
      <c r="H33" s="24">
        <v>4</v>
      </c>
      <c r="I33" s="26">
        <v>249.99</v>
      </c>
      <c r="J33" s="19" t="str">
        <v>PayPal</v>
      </c>
      <c r="K33" s="28" t="str">
        <v>East</v>
      </c>
      <c r="L33" s="19" t="str">
        <v>Premium</v>
      </c>
      <c r="M33" s="22">
        <v>45098</v>
      </c>
      <c r="N33" s="33">
        <v>999.96</v>
      </c>
      <c r="O33" s="27"/>
      <c r="P33" s="19" t="str">
        <v>TRX0028</v>
      </c>
      <c r="Q33" s="22">
        <v>45644</v>
      </c>
      <c r="R33" s="19" t="str">
        <v>CUST002</v>
      </c>
      <c r="S33" s="19" t="str">
        <v>Emma Wilson</v>
      </c>
      <c r="T33" s="19" t="str">
        <v>P005</v>
      </c>
      <c r="U33" s="19" t="str">
        <v>Blender</v>
      </c>
      <c r="V33" s="19" t="str">
        <v>Appliances</v>
      </c>
      <c r="W33" s="24">
        <v>2</v>
      </c>
      <c r="X33" s="26">
        <v>59.99</v>
      </c>
      <c r="Y33" s="19" t="str">
        <v>Cash</v>
      </c>
      <c r="Z33" s="28" t="str">
        <v>West</v>
      </c>
      <c r="AA33" s="19" t="str">
        <v>Basic</v>
      </c>
      <c r="AB33" s="22">
        <v>45191</v>
      </c>
      <c r="AC33" s="30">
        <v>119.98</v>
      </c>
    </row>
    <row r="34" spans="1:29" x14ac:dyDescent="0.25">
      <c r="A34" s="19" t="str">
        <v>TRX0036</v>
      </c>
      <c r="B34" s="22">
        <v>45635</v>
      </c>
      <c r="C34" s="19" t="str">
        <v>CUST008</v>
      </c>
      <c r="D34" s="19" t="str">
        <v>Jennifer Taylor</v>
      </c>
      <c r="E34" s="19" t="str">
        <v>P004</v>
      </c>
      <c r="F34" s="19" t="str">
        <v>Coffee Maker</v>
      </c>
      <c r="G34" s="19" t="str">
        <v>Appliances</v>
      </c>
      <c r="H34" s="24">
        <v>4</v>
      </c>
      <c r="I34" s="26">
        <v>79.989999999999995</v>
      </c>
      <c r="J34" s="19" t="str">
        <v>Debit Card</v>
      </c>
      <c r="K34" s="28" t="str">
        <v>East</v>
      </c>
      <c r="L34" s="19" t="str">
        <v>Standard</v>
      </c>
      <c r="M34" s="22">
        <v>44921</v>
      </c>
      <c r="N34" s="33">
        <v>319.95999999999998</v>
      </c>
      <c r="O34" s="27"/>
      <c r="P34" s="19" t="str">
        <v>TRX0164</v>
      </c>
      <c r="Q34" s="22">
        <v>45648</v>
      </c>
      <c r="R34" s="19" t="str">
        <v>CUST014</v>
      </c>
      <c r="S34" s="19" t="str">
        <v>Linda Martin</v>
      </c>
      <c r="T34" s="19" t="str">
        <v>P003</v>
      </c>
      <c r="U34" s="19" t="str">
        <v>Headphones</v>
      </c>
      <c r="V34" s="19" t="str">
        <v>Electronics</v>
      </c>
      <c r="W34" s="24">
        <v>2</v>
      </c>
      <c r="X34" s="26">
        <v>149.99</v>
      </c>
      <c r="Y34" s="19" t="str">
        <v>Debit Card</v>
      </c>
      <c r="Z34" s="28" t="str">
        <v>West</v>
      </c>
      <c r="AA34" s="19" t="str">
        <v>Premium</v>
      </c>
      <c r="AB34" s="22">
        <v>45280</v>
      </c>
      <c r="AC34" s="30">
        <v>299.98</v>
      </c>
    </row>
    <row r="35" spans="1:29" x14ac:dyDescent="0.25">
      <c r="A35" s="19" t="str">
        <v>TRX0198</v>
      </c>
      <c r="B35" s="22">
        <v>45636</v>
      </c>
      <c r="C35" s="19" t="str">
        <v>CUST030</v>
      </c>
      <c r="D35" s="19" t="str">
        <v>Helen Roberts</v>
      </c>
      <c r="E35" s="19" t="str">
        <v>P004</v>
      </c>
      <c r="F35" s="19" t="str">
        <v>Coffee Maker</v>
      </c>
      <c r="G35" s="19" t="str">
        <v>Appliances</v>
      </c>
      <c r="H35" s="24">
        <v>3</v>
      </c>
      <c r="I35" s="26">
        <v>79.989999999999995</v>
      </c>
      <c r="J35" s="19" t="str">
        <v>Debit Card</v>
      </c>
      <c r="K35" s="28" t="str">
        <v>East</v>
      </c>
      <c r="L35" s="19" t="str">
        <v>Standard</v>
      </c>
      <c r="M35" s="22">
        <v>44779</v>
      </c>
      <c r="N35" s="33">
        <v>239.96999999999997</v>
      </c>
      <c r="O35" s="27"/>
      <c r="P35" s="19" t="str">
        <v>TRX0143</v>
      </c>
      <c r="Q35" s="22">
        <v>45654</v>
      </c>
      <c r="R35" s="19" t="str">
        <v>CUST003</v>
      </c>
      <c r="S35" s="19" t="str">
        <v>Michael Brown</v>
      </c>
      <c r="T35" s="19" t="str">
        <v>P007</v>
      </c>
      <c r="U35" s="19" t="str">
        <v>Desk</v>
      </c>
      <c r="V35" s="19" t="str">
        <v>Furniture</v>
      </c>
      <c r="W35" s="24">
        <v>2</v>
      </c>
      <c r="X35" s="26">
        <v>299.99</v>
      </c>
      <c r="Y35" s="19" t="str">
        <v>Cash</v>
      </c>
      <c r="Z35" s="28" t="str">
        <v>West</v>
      </c>
      <c r="AA35" s="19" t="str">
        <v>Basic</v>
      </c>
      <c r="AB35" s="22">
        <v>44771</v>
      </c>
      <c r="AC35" s="30">
        <v>599.98</v>
      </c>
    </row>
    <row r="36" spans="1:29" x14ac:dyDescent="0.25">
      <c r="A36" s="19" t="str">
        <v>TRX0081</v>
      </c>
      <c r="B36" s="22">
        <v>45641</v>
      </c>
      <c r="C36" s="19" t="str">
        <v>CUST007</v>
      </c>
      <c r="D36" s="19" t="str">
        <v>David Martinez</v>
      </c>
      <c r="E36" s="19" t="str">
        <v>P008</v>
      </c>
      <c r="F36" s="19" t="str">
        <v>Bookshelf</v>
      </c>
      <c r="G36" s="19" t="str">
        <v>Furniture</v>
      </c>
      <c r="H36" s="24">
        <v>1</v>
      </c>
      <c r="I36" s="26">
        <v>149.99</v>
      </c>
      <c r="J36" s="19" t="str">
        <v>Debit Card</v>
      </c>
      <c r="K36" s="28" t="str">
        <v>East</v>
      </c>
      <c r="L36" s="19" t="str">
        <v>Standard</v>
      </c>
      <c r="M36" s="22">
        <v>45200</v>
      </c>
      <c r="N36" s="33">
        <v>149.99</v>
      </c>
      <c r="O36" s="27"/>
      <c r="P36" s="19" t="str">
        <v>TRX0178</v>
      </c>
      <c r="Q36" s="22">
        <v>45686</v>
      </c>
      <c r="R36" s="19" t="str">
        <v>CUST025</v>
      </c>
      <c r="S36" s="19" t="str">
        <v>Mark Carter</v>
      </c>
      <c r="T36" s="19" t="str">
        <v>P007</v>
      </c>
      <c r="U36" s="19" t="str">
        <v>Desk</v>
      </c>
      <c r="V36" s="19" t="str">
        <v>Furniture</v>
      </c>
      <c r="W36" s="24">
        <v>3</v>
      </c>
      <c r="X36" s="26">
        <v>299.99</v>
      </c>
      <c r="Y36" s="19" t="str">
        <v>Debit Card</v>
      </c>
      <c r="Z36" s="28" t="str">
        <v>West</v>
      </c>
      <c r="AA36" s="19" t="str">
        <v>Standard</v>
      </c>
      <c r="AB36" s="22">
        <v>44952</v>
      </c>
      <c r="AC36" s="30">
        <v>899.97</v>
      </c>
    </row>
    <row r="37" spans="1:29" x14ac:dyDescent="0.25">
      <c r="A37" s="19" t="str">
        <v>TRX0224</v>
      </c>
      <c r="B37" s="22">
        <v>45641</v>
      </c>
      <c r="C37" s="19" t="str">
        <v>CUST031</v>
      </c>
      <c r="D37" s="19" t="str">
        <v>Steven Turner</v>
      </c>
      <c r="E37" s="19" t="str">
        <v>P007</v>
      </c>
      <c r="F37" s="19" t="str">
        <v>Desk</v>
      </c>
      <c r="G37" s="19" t="str">
        <v>Furniture</v>
      </c>
      <c r="H37" s="24">
        <v>2</v>
      </c>
      <c r="I37" s="26">
        <v>299.99</v>
      </c>
      <c r="J37" s="19" t="str">
        <v>Cash</v>
      </c>
      <c r="K37" s="28" t="str">
        <v>East</v>
      </c>
      <c r="L37" s="19" t="str">
        <v>Premium</v>
      </c>
      <c r="M37" s="22">
        <v>44724</v>
      </c>
      <c r="N37" s="33">
        <v>599.98</v>
      </c>
      <c r="O37" s="27"/>
      <c r="P37" s="19" t="str">
        <v>TRX0010</v>
      </c>
      <c r="Q37" s="22">
        <v>45688</v>
      </c>
      <c r="R37" s="19" t="str">
        <v>CUST026</v>
      </c>
      <c r="S37" s="19" t="str">
        <v>Karen Hill</v>
      </c>
      <c r="T37" s="19" t="str">
        <v>P002</v>
      </c>
      <c r="U37" s="19" t="str">
        <v>Smartphone</v>
      </c>
      <c r="V37" s="19" t="str">
        <v>Electronics</v>
      </c>
      <c r="W37" s="24">
        <v>4</v>
      </c>
      <c r="X37" s="26">
        <v>699.99</v>
      </c>
      <c r="Y37" s="19" t="str">
        <v>Debit Card</v>
      </c>
      <c r="Z37" s="28" t="str">
        <v>West</v>
      </c>
      <c r="AA37" s="19" t="str">
        <v>Premium</v>
      </c>
      <c r="AB37" s="22">
        <v>44692</v>
      </c>
      <c r="AC37" s="32">
        <v>2799.96</v>
      </c>
    </row>
    <row r="38" spans="1:29" x14ac:dyDescent="0.25">
      <c r="A38" s="19" t="str">
        <v>TRX0163</v>
      </c>
      <c r="B38" s="22">
        <v>45645</v>
      </c>
      <c r="C38" s="19" t="str">
        <v>CUST019</v>
      </c>
      <c r="D38" s="19" t="str">
        <v>Daniel King</v>
      </c>
      <c r="E38" s="19" t="str">
        <v>P001</v>
      </c>
      <c r="F38" s="19" t="str">
        <v>Laptop</v>
      </c>
      <c r="G38" s="19" t="str">
        <v>Electronics</v>
      </c>
      <c r="H38" s="24">
        <v>5</v>
      </c>
      <c r="I38" s="26">
        <v>899.99</v>
      </c>
      <c r="J38" s="19" t="str">
        <v>Debit Card</v>
      </c>
      <c r="K38" s="28" t="str">
        <v>East</v>
      </c>
      <c r="L38" s="19" t="str">
        <v>Standard</v>
      </c>
      <c r="M38" s="22">
        <v>44625</v>
      </c>
      <c r="N38" s="35">
        <v>4499.95</v>
      </c>
      <c r="O38" s="27"/>
      <c r="P38" s="19" t="str">
        <v>TRX0221</v>
      </c>
      <c r="Q38" s="22">
        <v>45708</v>
      </c>
      <c r="R38" s="19" t="str">
        <v>CUST033</v>
      </c>
      <c r="S38" s="19" t="str">
        <v>Frank Torres</v>
      </c>
      <c r="T38" s="19" t="str">
        <v>P006</v>
      </c>
      <c r="U38" s="19" t="str">
        <v>Office Chair</v>
      </c>
      <c r="V38" s="19" t="str">
        <v>Furniture</v>
      </c>
      <c r="W38" s="24">
        <v>3</v>
      </c>
      <c r="X38" s="26">
        <v>199.99</v>
      </c>
      <c r="Y38" s="19" t="str">
        <v>Cash</v>
      </c>
      <c r="Z38" s="28" t="str">
        <v>West</v>
      </c>
      <c r="AA38" s="19" t="str">
        <v>Premium</v>
      </c>
      <c r="AB38" s="22">
        <v>44823</v>
      </c>
      <c r="AC38" s="30">
        <v>599.97</v>
      </c>
    </row>
    <row r="39" spans="1:29" x14ac:dyDescent="0.25">
      <c r="A39" s="19" t="str">
        <v>TRX0237</v>
      </c>
      <c r="B39" s="22">
        <v>45663</v>
      </c>
      <c r="C39" s="19" t="str">
        <v>CUST006</v>
      </c>
      <c r="D39" s="19" t="str">
        <v>Lisa Anderson</v>
      </c>
      <c r="E39" s="19" t="str">
        <v>P003</v>
      </c>
      <c r="F39" s="19" t="str">
        <v>Headphones</v>
      </c>
      <c r="G39" s="19" t="str">
        <v>Electronics</v>
      </c>
      <c r="H39" s="24">
        <v>5</v>
      </c>
      <c r="I39" s="26">
        <v>149.99</v>
      </c>
      <c r="J39" s="19" t="str">
        <v>PayPal</v>
      </c>
      <c r="K39" s="28" t="str">
        <v>East</v>
      </c>
      <c r="L39" s="19" t="str">
        <v>Premium</v>
      </c>
      <c r="M39" s="22">
        <v>44824</v>
      </c>
      <c r="N39" s="33">
        <v>749.95</v>
      </c>
      <c r="O39" s="27"/>
      <c r="P39" s="19" t="str">
        <v>TRX0083</v>
      </c>
      <c r="Q39" s="22">
        <v>45710</v>
      </c>
      <c r="R39" s="19" t="str">
        <v>CUST017</v>
      </c>
      <c r="S39" s="19" t="str">
        <v>Charles Allen</v>
      </c>
      <c r="T39" s="19" t="str">
        <v>P007</v>
      </c>
      <c r="U39" s="19" t="str">
        <v>Desk</v>
      </c>
      <c r="V39" s="19" t="str">
        <v>Furniture</v>
      </c>
      <c r="W39" s="24">
        <v>5</v>
      </c>
      <c r="X39" s="26">
        <v>299.99</v>
      </c>
      <c r="Y39" s="19" t="str">
        <v>Cash</v>
      </c>
      <c r="Z39" s="28" t="str">
        <v>West</v>
      </c>
      <c r="AA39" s="19" t="str">
        <v>Standard</v>
      </c>
      <c r="AB39" s="22">
        <v>45142</v>
      </c>
      <c r="AC39" s="29">
        <v>1499.95</v>
      </c>
    </row>
    <row r="40" spans="1:29" x14ac:dyDescent="0.25">
      <c r="A40" s="19" t="str">
        <v>TRX0084</v>
      </c>
      <c r="B40" s="22">
        <v>45668</v>
      </c>
      <c r="C40" s="19" t="str">
        <v>CUST031</v>
      </c>
      <c r="D40" s="19" t="str">
        <v>Steven Turner</v>
      </c>
      <c r="E40" s="19" t="str">
        <v>P003</v>
      </c>
      <c r="F40" s="19" t="str">
        <v>Headphones</v>
      </c>
      <c r="G40" s="19" t="str">
        <v>Electronics</v>
      </c>
      <c r="H40" s="24">
        <v>4</v>
      </c>
      <c r="I40" s="26">
        <v>149.99</v>
      </c>
      <c r="J40" s="19" t="str">
        <v>Debit Card</v>
      </c>
      <c r="K40" s="28" t="str">
        <v>East</v>
      </c>
      <c r="L40" s="19" t="str">
        <v>Standard</v>
      </c>
      <c r="M40" s="22">
        <v>44536</v>
      </c>
      <c r="N40" s="33">
        <v>599.96</v>
      </c>
      <c r="O40" s="27"/>
      <c r="P40" s="19" t="str">
        <v>TRX0151</v>
      </c>
      <c r="Q40" s="22">
        <v>45710</v>
      </c>
      <c r="R40" s="19" t="str">
        <v>CUST040</v>
      </c>
      <c r="S40" s="19" t="str">
        <v>Sharon Butler</v>
      </c>
      <c r="T40" s="19" t="str">
        <v>P002</v>
      </c>
      <c r="U40" s="19" t="str">
        <v>Smartphone</v>
      </c>
      <c r="V40" s="19" t="str">
        <v>Electronics</v>
      </c>
      <c r="W40" s="24">
        <v>1</v>
      </c>
      <c r="X40" s="26">
        <v>699.99</v>
      </c>
      <c r="Y40" s="19" t="str">
        <v>PayPal</v>
      </c>
      <c r="Z40" s="28" t="str">
        <v>West</v>
      </c>
      <c r="AA40" s="19" t="str">
        <v>Basic</v>
      </c>
      <c r="AB40" s="22">
        <v>44934</v>
      </c>
      <c r="AC40" s="30">
        <v>699.99</v>
      </c>
    </row>
    <row r="41" spans="1:29" x14ac:dyDescent="0.25">
      <c r="A41" s="19" t="str">
        <v>TRX0072</v>
      </c>
      <c r="B41" s="22">
        <v>45673</v>
      </c>
      <c r="C41" s="19" t="str">
        <v>CUST009</v>
      </c>
      <c r="D41" s="19" t="str">
        <v>Robert Thomas</v>
      </c>
      <c r="E41" s="19" t="str">
        <v>P008</v>
      </c>
      <c r="F41" s="19" t="str">
        <v>Bookshelf</v>
      </c>
      <c r="G41" s="19" t="str">
        <v>Furniture</v>
      </c>
      <c r="H41" s="24">
        <v>3</v>
      </c>
      <c r="I41" s="26">
        <v>149.99</v>
      </c>
      <c r="J41" s="19" t="str">
        <v>Credit Card</v>
      </c>
      <c r="K41" s="28" t="str">
        <v>East</v>
      </c>
      <c r="L41" s="19" t="str">
        <v>Standard</v>
      </c>
      <c r="M41" s="22">
        <v>44395</v>
      </c>
      <c r="N41" s="33">
        <v>449.97</v>
      </c>
      <c r="O41" s="27"/>
      <c r="P41" s="19" t="str">
        <v>TRX0062</v>
      </c>
      <c r="Q41" s="22">
        <v>45711</v>
      </c>
      <c r="R41" s="19" t="str">
        <v>CUST016</v>
      </c>
      <c r="S41" s="19" t="str">
        <v>Elizabeth Hall</v>
      </c>
      <c r="T41" s="19" t="str">
        <v>P010</v>
      </c>
      <c r="U41" s="19" t="str">
        <v>Keyboard</v>
      </c>
      <c r="V41" s="19" t="str">
        <v>Electronics</v>
      </c>
      <c r="W41" s="24">
        <v>5</v>
      </c>
      <c r="X41" s="26">
        <v>89.99</v>
      </c>
      <c r="Y41" s="19" t="str">
        <v>PayPal</v>
      </c>
      <c r="Z41" s="28" t="str">
        <v>West</v>
      </c>
      <c r="AA41" s="19" t="str">
        <v>Premium</v>
      </c>
      <c r="AB41" s="22">
        <v>45140</v>
      </c>
      <c r="AC41" s="30">
        <v>449.95</v>
      </c>
    </row>
    <row r="42" spans="1:29" x14ac:dyDescent="0.25">
      <c r="A42" s="19" t="str">
        <v>TRX0110</v>
      </c>
      <c r="B42" s="22">
        <v>45676</v>
      </c>
      <c r="C42" s="19" t="str">
        <v>CUST006</v>
      </c>
      <c r="D42" s="19" t="str">
        <v>Lisa Anderson</v>
      </c>
      <c r="E42" s="19" t="str">
        <v>P005</v>
      </c>
      <c r="F42" s="19" t="str">
        <v>Blender</v>
      </c>
      <c r="G42" s="19" t="str">
        <v>Appliances</v>
      </c>
      <c r="H42" s="24">
        <v>5</v>
      </c>
      <c r="I42" s="26">
        <v>59.99</v>
      </c>
      <c r="J42" s="19" t="str">
        <v>Debit Card</v>
      </c>
      <c r="K42" s="28" t="str">
        <v>East</v>
      </c>
      <c r="L42" s="19" t="str">
        <v>Basic</v>
      </c>
      <c r="M42" s="22">
        <v>44642</v>
      </c>
      <c r="N42" s="33">
        <v>299.95</v>
      </c>
      <c r="O42" s="27"/>
      <c r="P42" s="19" t="str">
        <v>TRX0229</v>
      </c>
      <c r="Q42" s="22">
        <v>45715</v>
      </c>
      <c r="R42" s="19" t="str">
        <v>CUST015</v>
      </c>
      <c r="S42" s="19" t="str">
        <v>Richard Lee</v>
      </c>
      <c r="T42" s="19" t="str">
        <v>P005</v>
      </c>
      <c r="U42" s="19" t="str">
        <v>Blender</v>
      </c>
      <c r="V42" s="19" t="str">
        <v>Appliances</v>
      </c>
      <c r="W42" s="24">
        <v>4</v>
      </c>
      <c r="X42" s="26">
        <v>59.99</v>
      </c>
      <c r="Y42" s="19" t="str">
        <v>Cash</v>
      </c>
      <c r="Z42" s="28" t="str">
        <v>West</v>
      </c>
      <c r="AA42" s="19" t="str">
        <v>Standard</v>
      </c>
      <c r="AB42" s="22">
        <v>45070</v>
      </c>
      <c r="AC42" s="30">
        <v>239.96</v>
      </c>
    </row>
    <row r="43" spans="1:29" x14ac:dyDescent="0.25">
      <c r="A43" s="19" t="str">
        <v>TRX0126</v>
      </c>
      <c r="B43" s="22">
        <v>45682</v>
      </c>
      <c r="C43" s="19" t="str">
        <v>CUST022</v>
      </c>
      <c r="D43" s="19" t="str">
        <v>Susan Green</v>
      </c>
      <c r="E43" s="19" t="str">
        <v>P005</v>
      </c>
      <c r="F43" s="19" t="str">
        <v>Blender</v>
      </c>
      <c r="G43" s="19" t="str">
        <v>Appliances</v>
      </c>
      <c r="H43" s="24">
        <v>4</v>
      </c>
      <c r="I43" s="26">
        <v>59.99</v>
      </c>
      <c r="J43" s="19" t="str">
        <v>Debit Card</v>
      </c>
      <c r="K43" s="28" t="str">
        <v>East</v>
      </c>
      <c r="L43" s="19" t="str">
        <v>Standard</v>
      </c>
      <c r="M43" s="22">
        <v>44564</v>
      </c>
      <c r="N43" s="33">
        <v>239.96</v>
      </c>
      <c r="O43" s="27"/>
      <c r="P43" s="19" t="str">
        <v>TRX0053</v>
      </c>
      <c r="Q43" s="22">
        <v>45721</v>
      </c>
      <c r="R43" s="19" t="str">
        <v>CUST043</v>
      </c>
      <c r="S43" s="19" t="str">
        <v>Dennis Gray</v>
      </c>
      <c r="T43" s="19" t="str">
        <v>P005</v>
      </c>
      <c r="U43" s="19" t="str">
        <v>Blender</v>
      </c>
      <c r="V43" s="19" t="str">
        <v>Appliances</v>
      </c>
      <c r="W43" s="24">
        <v>5</v>
      </c>
      <c r="X43" s="26">
        <v>59.99</v>
      </c>
      <c r="Y43" s="19" t="str">
        <v>Cash</v>
      </c>
      <c r="Z43" s="28" t="str">
        <v>West</v>
      </c>
      <c r="AA43" s="19" t="str">
        <v>Premium</v>
      </c>
      <c r="AB43" s="22">
        <v>45291</v>
      </c>
      <c r="AC43" s="30">
        <v>299.95</v>
      </c>
    </row>
    <row r="44" spans="1:29" x14ac:dyDescent="0.25">
      <c r="A44" s="19" t="str">
        <v>TRX0187</v>
      </c>
      <c r="B44" s="22">
        <v>45701</v>
      </c>
      <c r="C44" s="19" t="str">
        <v>CUST036</v>
      </c>
      <c r="D44" s="19" t="str">
        <v>Nancy Collins</v>
      </c>
      <c r="E44" s="19" t="str">
        <v>P004</v>
      </c>
      <c r="F44" s="19" t="str">
        <v>Coffee Maker</v>
      </c>
      <c r="G44" s="19" t="str">
        <v>Appliances</v>
      </c>
      <c r="H44" s="24">
        <v>3</v>
      </c>
      <c r="I44" s="26">
        <v>79.989999999999995</v>
      </c>
      <c r="J44" s="19" t="str">
        <v>Cash</v>
      </c>
      <c r="K44" s="28" t="str">
        <v>East</v>
      </c>
      <c r="L44" s="19" t="str">
        <v>Premium</v>
      </c>
      <c r="M44" s="22">
        <v>44436</v>
      </c>
      <c r="N44" s="33">
        <v>239.96999999999997</v>
      </c>
      <c r="O44" s="27"/>
      <c r="P44" s="19" t="str">
        <v>TRX0233</v>
      </c>
      <c r="Q44" s="22">
        <v>45723</v>
      </c>
      <c r="R44" s="19" t="str">
        <v>CUST023</v>
      </c>
      <c r="S44" s="19" t="str">
        <v>Paul Baker</v>
      </c>
      <c r="T44" s="19" t="str">
        <v>P010</v>
      </c>
      <c r="U44" s="19" t="str">
        <v>Keyboard</v>
      </c>
      <c r="V44" s="19" t="str">
        <v>Electronics</v>
      </c>
      <c r="W44" s="24">
        <v>2</v>
      </c>
      <c r="X44" s="26">
        <v>89.99</v>
      </c>
      <c r="Y44" s="19" t="str">
        <v>Credit Card</v>
      </c>
      <c r="Z44" s="28" t="str">
        <v>West</v>
      </c>
      <c r="AA44" s="19" t="str">
        <v>Premium</v>
      </c>
      <c r="AB44" s="22">
        <v>45295</v>
      </c>
      <c r="AC44" s="30">
        <v>179.98</v>
      </c>
    </row>
    <row r="45" spans="1:29" x14ac:dyDescent="0.25">
      <c r="A45" s="19" t="str">
        <v>TRX0214</v>
      </c>
      <c r="B45" s="22">
        <v>45708</v>
      </c>
      <c r="C45" s="19" t="str">
        <v>CUST018</v>
      </c>
      <c r="D45" s="19" t="str">
        <v>Barbara Young</v>
      </c>
      <c r="E45" s="19" t="str">
        <v>P001</v>
      </c>
      <c r="F45" s="19" t="str">
        <v>Laptop</v>
      </c>
      <c r="G45" s="19" t="str">
        <v>Electronics</v>
      </c>
      <c r="H45" s="24">
        <v>3</v>
      </c>
      <c r="I45" s="26">
        <v>899.99</v>
      </c>
      <c r="J45" s="19" t="str">
        <v>Cash</v>
      </c>
      <c r="K45" s="28" t="str">
        <v>East</v>
      </c>
      <c r="L45" s="19" t="str">
        <v>Standard</v>
      </c>
      <c r="M45" s="22">
        <v>44613</v>
      </c>
      <c r="N45" s="34">
        <v>2699.9700000000003</v>
      </c>
      <c r="O45" s="27"/>
      <c r="P45" s="19" t="str">
        <v>TRX0014</v>
      </c>
      <c r="Q45" s="22">
        <v>45734</v>
      </c>
      <c r="R45" s="19" t="str">
        <v>CUST033</v>
      </c>
      <c r="S45" s="19" t="str">
        <v>Frank Torres</v>
      </c>
      <c r="T45" s="19" t="str">
        <v>P005</v>
      </c>
      <c r="U45" s="19" t="str">
        <v>Blender</v>
      </c>
      <c r="V45" s="19" t="str">
        <v>Appliances</v>
      </c>
      <c r="W45" s="24">
        <v>2</v>
      </c>
      <c r="X45" s="26">
        <v>59.99</v>
      </c>
      <c r="Y45" s="19" t="str">
        <v>Credit Card</v>
      </c>
      <c r="Z45" s="28" t="str">
        <v>West</v>
      </c>
      <c r="AA45" s="19" t="str">
        <v>Basic</v>
      </c>
      <c r="AB45" s="22">
        <v>45193</v>
      </c>
      <c r="AC45" s="30">
        <v>119.98</v>
      </c>
    </row>
    <row r="46" spans="1:29" x14ac:dyDescent="0.25">
      <c r="A46" s="19" t="str">
        <v>TRX0226</v>
      </c>
      <c r="B46" s="22">
        <v>45720</v>
      </c>
      <c r="C46" s="19" t="str">
        <v>CUST039</v>
      </c>
      <c r="D46" s="19" t="str">
        <v>Lawrence Reed</v>
      </c>
      <c r="E46" s="19" t="str">
        <v>P002</v>
      </c>
      <c r="F46" s="19" t="str">
        <v>Smartphone</v>
      </c>
      <c r="G46" s="19" t="str">
        <v>Electronics</v>
      </c>
      <c r="H46" s="24">
        <v>5</v>
      </c>
      <c r="I46" s="26">
        <v>699.99</v>
      </c>
      <c r="J46" s="19" t="str">
        <v>Debit Card</v>
      </c>
      <c r="K46" s="28" t="str">
        <v>East</v>
      </c>
      <c r="L46" s="19" t="str">
        <v>Premium</v>
      </c>
      <c r="M46" s="22">
        <v>45161</v>
      </c>
      <c r="N46" s="35">
        <v>3499.95</v>
      </c>
      <c r="O46" s="27"/>
      <c r="P46" s="19" t="str">
        <v>TRX0003</v>
      </c>
      <c r="Q46" s="22">
        <v>45737</v>
      </c>
      <c r="R46" s="19" t="str">
        <v>CUST002</v>
      </c>
      <c r="S46" s="19" t="str">
        <v>Emma Wilson</v>
      </c>
      <c r="T46" s="19" t="str">
        <v>P008</v>
      </c>
      <c r="U46" s="19" t="str">
        <v>Bookshelf</v>
      </c>
      <c r="V46" s="19" t="str">
        <v>Furniture</v>
      </c>
      <c r="W46" s="24">
        <v>2</v>
      </c>
      <c r="X46" s="26">
        <v>149.99</v>
      </c>
      <c r="Y46" s="19" t="str">
        <v>Cash</v>
      </c>
      <c r="Z46" s="28" t="str">
        <v>West</v>
      </c>
      <c r="AA46" s="19" t="str">
        <v>Premium</v>
      </c>
      <c r="AB46" s="22">
        <v>45233</v>
      </c>
      <c r="AC46" s="30">
        <v>299.98</v>
      </c>
    </row>
    <row r="47" spans="1:29" x14ac:dyDescent="0.25">
      <c r="A47" s="19" t="str">
        <v>TRX0175</v>
      </c>
      <c r="B47" s="22">
        <v>45723</v>
      </c>
      <c r="C47" s="19" t="str">
        <v>CUST030</v>
      </c>
      <c r="D47" s="19" t="str">
        <v>Helen Roberts</v>
      </c>
      <c r="E47" s="19" t="str">
        <v>P009</v>
      </c>
      <c r="F47" s="19" t="str">
        <v>Monitor</v>
      </c>
      <c r="G47" s="19" t="str">
        <v>Electronics</v>
      </c>
      <c r="H47" s="24">
        <v>5</v>
      </c>
      <c r="I47" s="26">
        <v>249.99</v>
      </c>
      <c r="J47" s="19" t="str">
        <v>Cash</v>
      </c>
      <c r="K47" s="28" t="str">
        <v>East</v>
      </c>
      <c r="L47" s="19" t="str">
        <v>Standard</v>
      </c>
      <c r="M47" s="22">
        <v>44540</v>
      </c>
      <c r="N47" s="33">
        <v>1249.95</v>
      </c>
      <c r="O47" s="27"/>
      <c r="P47" s="19" t="str">
        <v>TRX0019</v>
      </c>
      <c r="Q47" s="22">
        <v>45739</v>
      </c>
      <c r="R47" s="19" t="str">
        <v>CUST023</v>
      </c>
      <c r="S47" s="19" t="str">
        <v>Paul Baker</v>
      </c>
      <c r="T47" s="19" t="str">
        <v>P007</v>
      </c>
      <c r="U47" s="19" t="str">
        <v>Desk</v>
      </c>
      <c r="V47" s="19" t="str">
        <v>Furniture</v>
      </c>
      <c r="W47" s="24">
        <v>3</v>
      </c>
      <c r="X47" s="26">
        <v>299.99</v>
      </c>
      <c r="Y47" s="19" t="str">
        <v>Credit Card</v>
      </c>
      <c r="Z47" s="28" t="str">
        <v>West</v>
      </c>
      <c r="AA47" s="19" t="str">
        <v>Premium</v>
      </c>
      <c r="AB47" s="22">
        <v>45234</v>
      </c>
      <c r="AC47" s="30">
        <v>899.97</v>
      </c>
    </row>
    <row r="48" spans="1:29" x14ac:dyDescent="0.25">
      <c r="A48" s="19" t="str">
        <v>TRX0016</v>
      </c>
      <c r="B48" s="22">
        <v>45724</v>
      </c>
      <c r="C48" s="19" t="str">
        <v>CUST035</v>
      </c>
      <c r="D48" s="19" t="str">
        <v>Harry Morgan</v>
      </c>
      <c r="E48" s="19" t="str">
        <v>P001</v>
      </c>
      <c r="F48" s="19" t="str">
        <v>Laptop</v>
      </c>
      <c r="G48" s="19" t="str">
        <v>Electronics</v>
      </c>
      <c r="H48" s="24">
        <v>5</v>
      </c>
      <c r="I48" s="26">
        <v>899.99</v>
      </c>
      <c r="J48" s="19" t="str">
        <v>PayPal</v>
      </c>
      <c r="K48" s="28" t="str">
        <v>East</v>
      </c>
      <c r="L48" s="19" t="str">
        <v>Premium</v>
      </c>
      <c r="M48" s="22">
        <v>45389</v>
      </c>
      <c r="N48" s="35">
        <v>4499.95</v>
      </c>
      <c r="O48" s="27"/>
      <c r="P48" s="19" t="str">
        <v>TRX0050</v>
      </c>
      <c r="Q48" s="22">
        <v>45740</v>
      </c>
      <c r="R48" s="19" t="str">
        <v>CUST001</v>
      </c>
      <c r="S48" s="19" t="str">
        <v>John Smith</v>
      </c>
      <c r="T48" s="19" t="str">
        <v>P008</v>
      </c>
      <c r="U48" s="19" t="str">
        <v>Bookshelf</v>
      </c>
      <c r="V48" s="19" t="str">
        <v>Furniture</v>
      </c>
      <c r="W48" s="24">
        <v>4</v>
      </c>
      <c r="X48" s="26">
        <v>149.99</v>
      </c>
      <c r="Y48" s="19" t="str">
        <v>PayPal</v>
      </c>
      <c r="Z48" s="28" t="str">
        <v>West</v>
      </c>
      <c r="AA48" s="19" t="str">
        <v>Standard</v>
      </c>
      <c r="AB48" s="22">
        <v>44560</v>
      </c>
      <c r="AC48" s="30">
        <v>599.96</v>
      </c>
    </row>
    <row r="49" spans="1:29" x14ac:dyDescent="0.25">
      <c r="A49" s="19" t="str">
        <v>TRX0116</v>
      </c>
      <c r="B49" s="22">
        <v>45756</v>
      </c>
      <c r="C49" s="19" t="str">
        <v>CUST009</v>
      </c>
      <c r="D49" s="19" t="str">
        <v>Robert Thomas</v>
      </c>
      <c r="E49" s="19" t="str">
        <v>P010</v>
      </c>
      <c r="F49" s="19" t="str">
        <v>Keyboard</v>
      </c>
      <c r="G49" s="19" t="str">
        <v>Electronics</v>
      </c>
      <c r="H49" s="24">
        <v>1</v>
      </c>
      <c r="I49" s="26">
        <v>89.99</v>
      </c>
      <c r="J49" s="19" t="str">
        <v>Debit Card</v>
      </c>
      <c r="K49" s="28" t="str">
        <v>East</v>
      </c>
      <c r="L49" s="19" t="str">
        <v>Basic</v>
      </c>
      <c r="M49" s="22">
        <v>45346</v>
      </c>
      <c r="N49" s="33">
        <v>89.99</v>
      </c>
      <c r="O49" s="27"/>
      <c r="P49" s="19" t="str">
        <v>TRX0250</v>
      </c>
      <c r="Q49" s="22">
        <v>45746</v>
      </c>
      <c r="R49" s="19" t="str">
        <v>CUST026</v>
      </c>
      <c r="S49" s="19" t="str">
        <v>Karen Hill</v>
      </c>
      <c r="T49" s="19" t="str">
        <v>P010</v>
      </c>
      <c r="U49" s="19" t="str">
        <v>Keyboard</v>
      </c>
      <c r="V49" s="19" t="str">
        <v>Electronics</v>
      </c>
      <c r="W49" s="24">
        <v>2</v>
      </c>
      <c r="X49" s="26">
        <v>89.99</v>
      </c>
      <c r="Y49" s="19" t="str">
        <v>Debit Card</v>
      </c>
      <c r="Z49" s="28" t="str">
        <v>West</v>
      </c>
      <c r="AA49" s="19" t="str">
        <v>Premium</v>
      </c>
      <c r="AB49" s="22">
        <v>44522</v>
      </c>
      <c r="AC49" s="30">
        <v>179.98</v>
      </c>
    </row>
    <row r="50" spans="1:29" x14ac:dyDescent="0.25">
      <c r="A50" s="19" t="str">
        <v>TRX0103</v>
      </c>
      <c r="B50" s="22">
        <v>45758</v>
      </c>
      <c r="C50" s="19" t="str">
        <v>CUST039</v>
      </c>
      <c r="D50" s="19" t="str">
        <v>Lawrence Reed</v>
      </c>
      <c r="E50" s="19" t="str">
        <v>P010</v>
      </c>
      <c r="F50" s="19" t="str">
        <v>Keyboard</v>
      </c>
      <c r="G50" s="19" t="str">
        <v>Electronics</v>
      </c>
      <c r="H50" s="24">
        <v>2</v>
      </c>
      <c r="I50" s="26">
        <v>89.99</v>
      </c>
      <c r="J50" s="19" t="str">
        <v>Debit Card</v>
      </c>
      <c r="K50" s="28" t="str">
        <v>East</v>
      </c>
      <c r="L50" s="19" t="str">
        <v>Basic</v>
      </c>
      <c r="M50" s="22">
        <v>45088</v>
      </c>
      <c r="N50" s="33">
        <v>179.98</v>
      </c>
      <c r="O50" s="27"/>
    </row>
  </sheetData>
  <mergeCells count="2">
    <mergeCell ref="A1:N1"/>
    <mergeCell ref="P1:AC1"/>
  </mergeCells>
  <conditionalFormatting sqref="N3:N50">
    <cfRule type="iconSet" priority="2">
      <iconSet iconSet="3Arrows">
        <cfvo type="percent" val="0"/>
        <cfvo type="percent" val="33"/>
        <cfvo type="percent" val="67"/>
      </iconSet>
    </cfRule>
  </conditionalFormatting>
  <conditionalFormatting sqref="AC3:AC49">
    <cfRule type="iconSet" priority="1">
      <iconSet iconSet="3Arrows">
        <cfvo type="percent" val="0"/>
        <cfvo type="percent" val="33"/>
        <cfvo type="percent" val="67"/>
      </iconSet>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0B40-E3D1-4296-AE8A-34BA1B2345C1}">
  <sheetPr>
    <outlinePr summaryBelow="0"/>
  </sheetPr>
  <dimension ref="B1:G12"/>
  <sheetViews>
    <sheetView showGridLines="0" workbookViewId="0">
      <selection activeCell="S14" sqref="S14"/>
    </sheetView>
  </sheetViews>
  <sheetFormatPr defaultRowHeight="15" outlineLevelRow="1" outlineLevelCol="1" x14ac:dyDescent="0.25"/>
  <cols>
    <col min="2" max="2" width="16" customWidth="1"/>
    <col min="3" max="3" width="9.28515625" customWidth="1"/>
    <col min="4" max="4" width="14.140625" customWidth="1" outlineLevel="1"/>
    <col min="5" max="5" width="13.7109375" customWidth="1" outlineLevel="1"/>
    <col min="6" max="6" width="14" customWidth="1" outlineLevel="1"/>
    <col min="7" max="7" width="16.28515625" customWidth="1" outlineLevel="1"/>
  </cols>
  <sheetData>
    <row r="1" spans="2:7" ht="15.75" thickBot="1" x14ac:dyDescent="0.3"/>
    <row r="2" spans="2:7" ht="15.75" x14ac:dyDescent="0.25">
      <c r="B2" s="41" t="s">
        <v>414</v>
      </c>
      <c r="C2" s="41"/>
      <c r="D2" s="46"/>
      <c r="E2" s="46"/>
      <c r="F2" s="46"/>
      <c r="G2" s="46"/>
    </row>
    <row r="3" spans="2:7" ht="15.75" collapsed="1" x14ac:dyDescent="0.25">
      <c r="B3" s="40"/>
      <c r="C3" s="40"/>
      <c r="D3" s="47" t="s">
        <v>416</v>
      </c>
      <c r="E3" s="47" t="s">
        <v>410</v>
      </c>
      <c r="F3" s="47" t="s">
        <v>412</v>
      </c>
      <c r="G3" s="47" t="s">
        <v>413</v>
      </c>
    </row>
    <row r="4" spans="2:7" ht="33.75" hidden="1" outlineLevel="1" x14ac:dyDescent="0.25">
      <c r="B4" s="43"/>
      <c r="C4" s="43"/>
      <c r="D4" s="36"/>
      <c r="E4" s="50" t="s">
        <v>411</v>
      </c>
      <c r="F4" s="50" t="s">
        <v>411</v>
      </c>
      <c r="G4" s="50" t="s">
        <v>411</v>
      </c>
    </row>
    <row r="5" spans="2:7" x14ac:dyDescent="0.25">
      <c r="B5" s="44" t="s">
        <v>415</v>
      </c>
      <c r="C5" s="44"/>
      <c r="D5" s="42"/>
      <c r="E5" s="42"/>
      <c r="F5" s="42"/>
      <c r="G5" s="42"/>
    </row>
    <row r="6" spans="2:7" outlineLevel="1" x14ac:dyDescent="0.25">
      <c r="B6" s="43"/>
      <c r="C6" s="43" t="s">
        <v>407</v>
      </c>
      <c r="D6" s="37">
        <v>3</v>
      </c>
      <c r="E6" s="48">
        <v>5</v>
      </c>
      <c r="F6" s="48">
        <v>3</v>
      </c>
      <c r="G6" s="48">
        <v>1</v>
      </c>
    </row>
    <row r="7" spans="2:7" outlineLevel="1" x14ac:dyDescent="0.25">
      <c r="B7" s="43"/>
      <c r="C7" s="43" t="s">
        <v>408</v>
      </c>
      <c r="D7" s="38">
        <v>249.99</v>
      </c>
      <c r="E7" s="49">
        <v>249.99</v>
      </c>
      <c r="F7" s="49">
        <v>249.99</v>
      </c>
      <c r="G7" s="49">
        <v>59.99</v>
      </c>
    </row>
    <row r="8" spans="2:7" x14ac:dyDescent="0.25">
      <c r="B8" s="44" t="s">
        <v>417</v>
      </c>
      <c r="C8" s="44"/>
      <c r="D8" s="42"/>
      <c r="E8" s="42"/>
      <c r="F8" s="42"/>
      <c r="G8" s="42"/>
    </row>
    <row r="9" spans="2:7" ht="15.75" outlineLevel="1" thickBot="1" x14ac:dyDescent="0.3">
      <c r="B9" s="45"/>
      <c r="C9" s="45" t="s">
        <v>409</v>
      </c>
      <c r="D9" s="39"/>
      <c r="E9" s="39"/>
      <c r="F9" s="39"/>
      <c r="G9" s="39"/>
    </row>
    <row r="10" spans="2:7" x14ac:dyDescent="0.25">
      <c r="B10" t="s">
        <v>418</v>
      </c>
    </row>
    <row r="11" spans="2:7" x14ac:dyDescent="0.25">
      <c r="B11" t="s">
        <v>419</v>
      </c>
    </row>
    <row r="12" spans="2:7" x14ac:dyDescent="0.25">
      <c r="B12" t="s">
        <v>420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167C-AE12-4022-A970-711B1CF8ADE6}">
  <dimension ref="A1:I18"/>
  <sheetViews>
    <sheetView workbookViewId="0">
      <selection activeCell="G25" sqref="G25"/>
    </sheetView>
  </sheetViews>
  <sheetFormatPr defaultRowHeight="15" x14ac:dyDescent="0.25"/>
  <cols>
    <col min="1" max="1" width="17.5703125" customWidth="1"/>
    <col min="2" max="2" width="21.28515625" customWidth="1"/>
    <col min="3" max="3" width="14.5703125" customWidth="1"/>
    <col min="4" max="4" width="19.42578125" customWidth="1"/>
    <col min="5" max="5" width="17.140625" customWidth="1"/>
    <col min="6" max="6" width="16.5703125" customWidth="1"/>
    <col min="7" max="7" width="15.85546875" customWidth="1"/>
    <col min="8" max="8" width="18.140625" customWidth="1"/>
    <col min="9" max="9" width="17.140625" customWidth="1"/>
  </cols>
  <sheetData>
    <row r="1" spans="1:9" x14ac:dyDescent="0.25">
      <c r="A1" s="91" t="s">
        <v>421</v>
      </c>
      <c r="B1" s="92"/>
      <c r="C1" s="92"/>
      <c r="D1" s="92"/>
      <c r="E1" s="92"/>
      <c r="F1" s="92"/>
      <c r="G1" s="92"/>
      <c r="H1" s="92"/>
      <c r="I1" s="93"/>
    </row>
    <row r="2" spans="1:9" x14ac:dyDescent="0.25">
      <c r="A2" s="94"/>
      <c r="B2" s="95"/>
      <c r="C2" s="95"/>
      <c r="D2" s="95"/>
      <c r="E2" s="95"/>
      <c r="F2" s="95"/>
      <c r="G2" s="95"/>
      <c r="H2" s="95"/>
      <c r="I2" s="96"/>
    </row>
    <row r="3" spans="1:9" ht="15.75" x14ac:dyDescent="0.25">
      <c r="A3" s="97" t="s">
        <v>422</v>
      </c>
      <c r="B3" s="98"/>
      <c r="C3" s="98"/>
      <c r="D3" s="98"/>
      <c r="E3" s="98"/>
      <c r="F3" s="98"/>
      <c r="G3" s="98"/>
      <c r="H3" s="98"/>
      <c r="I3" s="99"/>
    </row>
    <row r="4" spans="1:9" x14ac:dyDescent="0.25">
      <c r="A4" s="53" t="s">
        <v>423</v>
      </c>
      <c r="B4" s="53">
        <v>0.4580986940634908</v>
      </c>
      <c r="C4" s="53"/>
      <c r="D4" s="53"/>
      <c r="E4" s="53"/>
      <c r="F4" s="53"/>
      <c r="G4" s="53"/>
      <c r="H4" s="53"/>
      <c r="I4" s="53"/>
    </row>
    <row r="5" spans="1:9" x14ac:dyDescent="0.25">
      <c r="A5" s="51" t="s">
        <v>424</v>
      </c>
      <c r="B5" s="51">
        <v>0.20985441350267575</v>
      </c>
      <c r="C5" s="51"/>
      <c r="D5" s="51"/>
      <c r="E5" s="51"/>
      <c r="F5" s="51"/>
      <c r="G5" s="51"/>
      <c r="H5" s="51"/>
      <c r="I5" s="51"/>
    </row>
    <row r="6" spans="1:9" x14ac:dyDescent="0.25">
      <c r="A6" s="53" t="s">
        <v>425</v>
      </c>
      <c r="B6" s="53">
        <v>0.20665544351685664</v>
      </c>
      <c r="C6" s="53"/>
      <c r="D6" s="53"/>
      <c r="E6" s="53"/>
      <c r="F6" s="53"/>
      <c r="G6" s="53"/>
      <c r="H6" s="53"/>
      <c r="I6" s="53"/>
    </row>
    <row r="7" spans="1:9" x14ac:dyDescent="0.25">
      <c r="A7" s="51" t="s">
        <v>426</v>
      </c>
      <c r="B7" s="51">
        <v>921.40854264214704</v>
      </c>
      <c r="C7" s="51"/>
      <c r="D7" s="51"/>
      <c r="E7" s="51"/>
      <c r="F7" s="51"/>
      <c r="G7" s="51"/>
      <c r="H7" s="51"/>
      <c r="I7" s="51"/>
    </row>
    <row r="8" spans="1:9" x14ac:dyDescent="0.25">
      <c r="A8" s="53" t="s">
        <v>427</v>
      </c>
      <c r="B8" s="53">
        <v>249</v>
      </c>
      <c r="C8" s="53"/>
      <c r="D8" s="53"/>
      <c r="E8" s="53"/>
      <c r="F8" s="53"/>
      <c r="G8" s="53"/>
      <c r="H8" s="53"/>
      <c r="I8" s="53"/>
    </row>
    <row r="9" spans="1:9" x14ac:dyDescent="0.25">
      <c r="A9" s="51"/>
      <c r="B9" s="51"/>
      <c r="C9" s="51"/>
      <c r="D9" s="51"/>
      <c r="E9" s="51"/>
      <c r="F9" s="51"/>
      <c r="G9" s="51"/>
      <c r="H9" s="51"/>
      <c r="I9" s="51"/>
    </row>
    <row r="10" spans="1:9" x14ac:dyDescent="0.25">
      <c r="A10" s="53" t="s">
        <v>428</v>
      </c>
      <c r="B10" s="53"/>
      <c r="C10" s="53"/>
      <c r="D10" s="53"/>
      <c r="E10" s="53"/>
      <c r="F10" s="53"/>
      <c r="G10" s="53"/>
      <c r="H10" s="53"/>
      <c r="I10" s="53"/>
    </row>
    <row r="11" spans="1:9" x14ac:dyDescent="0.25">
      <c r="A11" s="52"/>
      <c r="B11" s="52" t="s">
        <v>433</v>
      </c>
      <c r="C11" s="52" t="s">
        <v>434</v>
      </c>
      <c r="D11" s="52" t="s">
        <v>435</v>
      </c>
      <c r="E11" s="52" t="s">
        <v>436</v>
      </c>
      <c r="F11" s="52" t="s">
        <v>437</v>
      </c>
      <c r="G11" s="51"/>
      <c r="H11" s="51"/>
      <c r="I11" s="51"/>
    </row>
    <row r="12" spans="1:9" x14ac:dyDescent="0.25">
      <c r="A12" s="53" t="s">
        <v>429</v>
      </c>
      <c r="B12" s="53">
        <v>1</v>
      </c>
      <c r="C12" s="53">
        <v>55694513.010666102</v>
      </c>
      <c r="D12" s="53">
        <v>55694513.010666102</v>
      </c>
      <c r="E12" s="53">
        <v>65.600619709765908</v>
      </c>
      <c r="F12" s="53">
        <v>2.5391277291095871E-14</v>
      </c>
      <c r="G12" s="53"/>
      <c r="H12" s="53"/>
      <c r="I12" s="53"/>
    </row>
    <row r="13" spans="1:9" x14ac:dyDescent="0.25">
      <c r="A13" s="51" t="s">
        <v>430</v>
      </c>
      <c r="B13" s="51">
        <v>247</v>
      </c>
      <c r="C13" s="51">
        <v>209701444.50611955</v>
      </c>
      <c r="D13" s="51">
        <v>848993.70245392527</v>
      </c>
      <c r="E13" s="51"/>
      <c r="F13" s="51"/>
      <c r="G13" s="51"/>
      <c r="H13" s="51"/>
      <c r="I13" s="51"/>
    </row>
    <row r="14" spans="1:9" x14ac:dyDescent="0.25">
      <c r="A14" s="53" t="s">
        <v>431</v>
      </c>
      <c r="B14" s="53">
        <v>248</v>
      </c>
      <c r="C14" s="53">
        <v>265395957.51678565</v>
      </c>
      <c r="D14" s="53"/>
      <c r="E14" s="53"/>
      <c r="F14" s="53"/>
      <c r="G14" s="53"/>
      <c r="H14" s="53"/>
      <c r="I14" s="53"/>
    </row>
    <row r="15" spans="1:9" x14ac:dyDescent="0.25">
      <c r="A15" s="51"/>
      <c r="B15" s="51"/>
      <c r="C15" s="51"/>
      <c r="D15" s="51"/>
      <c r="E15" s="51"/>
      <c r="F15" s="51"/>
      <c r="G15" s="51"/>
      <c r="H15" s="51"/>
      <c r="I15" s="51"/>
    </row>
    <row r="16" spans="1:9" x14ac:dyDescent="0.25">
      <c r="A16" s="54"/>
      <c r="B16" s="54" t="s">
        <v>438</v>
      </c>
      <c r="C16" s="54" t="s">
        <v>426</v>
      </c>
      <c r="D16" s="54" t="s">
        <v>439</v>
      </c>
      <c r="E16" s="54" t="s">
        <v>440</v>
      </c>
      <c r="F16" s="54" t="s">
        <v>441</v>
      </c>
      <c r="G16" s="54" t="s">
        <v>442</v>
      </c>
      <c r="H16" s="54" t="s">
        <v>443</v>
      </c>
      <c r="I16" s="54" t="s">
        <v>444</v>
      </c>
    </row>
    <row r="17" spans="1:9" x14ac:dyDescent="0.25">
      <c r="A17" s="51" t="s">
        <v>432</v>
      </c>
      <c r="B17" s="51">
        <v>-148.18856276399686</v>
      </c>
      <c r="C17" s="51">
        <v>143.94399015159905</v>
      </c>
      <c r="D17" s="51">
        <v>-1.029487668140417</v>
      </c>
      <c r="E17" s="51">
        <v>0.30425761488766012</v>
      </c>
      <c r="F17" s="51">
        <v>-431.70276968654099</v>
      </c>
      <c r="G17" s="51">
        <v>135.32564415854728</v>
      </c>
      <c r="H17" s="51">
        <v>-431.70276968654099</v>
      </c>
      <c r="I17" s="51">
        <v>135.32564415854728</v>
      </c>
    </row>
    <row r="18" spans="1:9" x14ac:dyDescent="0.25">
      <c r="A18" s="53">
        <v>3</v>
      </c>
      <c r="B18" s="53">
        <v>353.78860283764737</v>
      </c>
      <c r="C18" s="53">
        <v>43.680727926547888</v>
      </c>
      <c r="D18" s="53">
        <v>8.099420949041118</v>
      </c>
      <c r="E18" s="53">
        <v>2.5391277291093214E-14</v>
      </c>
      <c r="F18" s="53">
        <v>267.75439659637294</v>
      </c>
      <c r="G18" s="53">
        <v>439.82280907892181</v>
      </c>
      <c r="H18" s="53">
        <v>267.75439659637294</v>
      </c>
      <c r="I18" s="53">
        <v>439.82280907892181</v>
      </c>
    </row>
  </sheetData>
  <mergeCells count="2">
    <mergeCell ref="A1:I2"/>
    <mergeCell ref="A3:I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01BD0-618F-40C1-B8DC-9080655837F0}">
  <dimension ref="A1:L51"/>
  <sheetViews>
    <sheetView topLeftCell="E1" zoomScaleNormal="100" workbookViewId="0">
      <selection activeCell="L23" sqref="L23"/>
    </sheetView>
  </sheetViews>
  <sheetFormatPr defaultRowHeight="15" x14ac:dyDescent="0.25"/>
  <cols>
    <col min="1" max="1" width="22" customWidth="1"/>
    <col min="2" max="2" width="24.28515625" customWidth="1"/>
    <col min="3" max="3" width="26.42578125" customWidth="1"/>
    <col min="5" max="5" width="22.7109375" customWidth="1"/>
    <col min="6" max="6" width="24.7109375" customWidth="1"/>
    <col min="7" max="7" width="23.85546875" customWidth="1"/>
    <col min="8" max="8" width="19.7109375" customWidth="1"/>
    <col min="9" max="9" width="20.140625" customWidth="1"/>
    <col min="11" max="11" width="25.140625" customWidth="1"/>
    <col min="12" max="12" width="25.28515625" customWidth="1"/>
  </cols>
  <sheetData>
    <row r="1" spans="1:12" x14ac:dyDescent="0.25">
      <c r="A1" s="55" t="s">
        <v>445</v>
      </c>
      <c r="B1" s="55" t="s">
        <v>446</v>
      </c>
      <c r="C1" s="55" t="s">
        <v>447</v>
      </c>
      <c r="E1" s="55" t="s">
        <v>446</v>
      </c>
      <c r="F1" s="55" t="s">
        <v>445</v>
      </c>
      <c r="G1" s="55" t="s">
        <v>448</v>
      </c>
      <c r="H1" s="55" t="s">
        <v>449</v>
      </c>
      <c r="I1" s="55" t="s">
        <v>447</v>
      </c>
      <c r="K1" s="88" t="s">
        <v>531</v>
      </c>
      <c r="L1" s="88"/>
    </row>
    <row r="2" spans="1:12" x14ac:dyDescent="0.25">
      <c r="A2" s="53" t="str" cm="1">
        <f t="array" ref="A2:A51">_xlfn.UNIQUE('Data Intelligence Dashboard'!C2:C251)</f>
        <v>CUST023</v>
      </c>
      <c r="B2" s="53" t="str">
        <f>_xlfn.XLOOKUP(A2,'Data Intelligence Dashboard'!C2:C251,'Data Intelligence Dashboard'!D2:D251)</f>
        <v>Paul Baker</v>
      </c>
      <c r="C2" s="59">
        <f>SUMIF('Data Intelligence Dashboard'!C2:C251,A2,'Data Intelligence Dashboard'!N2:N251)</f>
        <v>8559.7699999999986</v>
      </c>
      <c r="E2" s="19" t="str" cm="1">
        <f t="array" ref="E2:E11">_xlfn.TAKE(_xlfn.SORTBY(B2:B251,C2:C251,-1),10)</f>
        <v>Mark Carter</v>
      </c>
      <c r="F2" s="19" t="str" cm="1">
        <f t="array" ref="F2:F11">_xlfn.XLOOKUP(_xlfn.ANCHORARRAY(E2),$B$2:$B$251,$A$2:$A$251)</f>
        <v>CUST025</v>
      </c>
      <c r="G2" s="19" t="str" cm="1">
        <f t="array" ref="G2:G11">_xlfn.XLOOKUP(_xlfn.ANCHORARRAY(E2),'Data Intelligence Dashboard'!$D$2:$D$251,'Data Intelligence Dashboard'!$F$2:$F$251)</f>
        <v>Bookshelf</v>
      </c>
      <c r="H2" s="19" t="str" cm="1">
        <f t="array" ref="H2:H11">_xlfn.XLOOKUP(_xlfn.ANCHORARRAY(E2),'Data Intelligence Dashboard'!$D$2:$D$251,'Data Intelligence Dashboard'!$G$2:$G$251)</f>
        <v>Furniture</v>
      </c>
      <c r="I2" s="58" cm="1">
        <f t="array" ref="I2:I11">_xlfn.XLOOKUP(_xlfn.ANCHORARRAY(E2),$B$2:$B$251,$C$2:$C$251)</f>
        <v>15659.65</v>
      </c>
      <c r="K2" s="19" t="s">
        <v>532</v>
      </c>
      <c r="L2" s="19" t="s">
        <v>533</v>
      </c>
    </row>
    <row r="3" spans="1:12" x14ac:dyDescent="0.25">
      <c r="A3" s="51" t="str">
        <v>CUST013</v>
      </c>
      <c r="B3" s="51" t="str">
        <f>_xlfn.XLOOKUP(A3,'Data Intelligence Dashboard'!C3:C252,'Data Intelligence Dashboard'!D3:D252)</f>
        <v>Joseph Jackson</v>
      </c>
      <c r="C3" s="60">
        <f>SUMIF('Data Intelligence Dashboard'!C3:C252,A3,'Data Intelligence Dashboard'!N3:N252)</f>
        <v>6949.84</v>
      </c>
      <c r="E3" s="51" t="str">
        <v>Edward Mitchell</v>
      </c>
      <c r="F3" s="51" t="str">
        <v>CUST029</v>
      </c>
      <c r="G3" s="51" t="str">
        <v>Blender</v>
      </c>
      <c r="H3" s="51" t="str">
        <v>Appliances</v>
      </c>
      <c r="I3" s="60">
        <v>11919.77</v>
      </c>
      <c r="K3" s="19" t="str" cm="1">
        <f t="array" ref="K3:K5">_xlfn.TAKE(_xlfn.SORTBY($B$2:$B$251,$C$2:$C$251,-1),3)</f>
        <v>Mark Carter</v>
      </c>
      <c r="L3" s="26" cm="1">
        <f t="array" ref="L3:L5">_xlfn.TAKE(_xlfn.SORTBY($C$2:$C$251,$C$2:$C$251,-1),3)</f>
        <v>15659.65</v>
      </c>
    </row>
    <row r="4" spans="1:12" x14ac:dyDescent="0.25">
      <c r="A4" s="53" t="str">
        <v>CUST021</v>
      </c>
      <c r="B4" s="53" t="str">
        <f>_xlfn.XLOOKUP(A4,'Data Intelligence Dashboard'!C4:C253,'Data Intelligence Dashboard'!D4:D253)</f>
        <v>Kevin Scott</v>
      </c>
      <c r="C4" s="59">
        <f>SUMIF('Data Intelligence Dashboard'!C4:C253,A4,'Data Intelligence Dashboard'!N4:N253)</f>
        <v>3259.87</v>
      </c>
      <c r="E4" s="19" t="str">
        <v>Barbara Young</v>
      </c>
      <c r="F4" s="19" t="str">
        <v>CUST018</v>
      </c>
      <c r="G4" s="19" t="str">
        <v>Smartphone</v>
      </c>
      <c r="H4" s="19" t="str">
        <v>Electronics</v>
      </c>
      <c r="I4" s="58">
        <v>10649.8</v>
      </c>
      <c r="K4" s="19" t="str">
        <v>Edward Mitchell</v>
      </c>
      <c r="L4" s="26">
        <v>11919.77</v>
      </c>
    </row>
    <row r="5" spans="1:12" x14ac:dyDescent="0.25">
      <c r="A5" s="51" t="str">
        <v>CUST046</v>
      </c>
      <c r="B5" s="51" t="str">
        <f>_xlfn.XLOOKUP(A5,'Data Intelligence Dashboard'!C5:C254,'Data Intelligence Dashboard'!D5:D254)</f>
        <v>Kathleen Bennett</v>
      </c>
      <c r="C5" s="60">
        <f>SUMIF('Data Intelligence Dashboard'!C5:C254,A5,'Data Intelligence Dashboard'!N5:N254)</f>
        <v>4309.8100000000004</v>
      </c>
      <c r="E5" s="51" t="str">
        <v>Patricia Moore</v>
      </c>
      <c r="F5" s="51" t="str">
        <v>CUST012</v>
      </c>
      <c r="G5" s="51" t="str">
        <v>Smartphone</v>
      </c>
      <c r="H5" s="51" t="str">
        <v>Electronics</v>
      </c>
      <c r="I5" s="60">
        <v>9799.73</v>
      </c>
      <c r="K5" s="19" t="str">
        <v>Barbara Young</v>
      </c>
      <c r="L5" s="26">
        <v>10649.8</v>
      </c>
    </row>
    <row r="6" spans="1:12" x14ac:dyDescent="0.25">
      <c r="A6" s="53" t="str">
        <v>CUST003</v>
      </c>
      <c r="B6" s="53" t="str">
        <f>_xlfn.XLOOKUP(A6,'Data Intelligence Dashboard'!C6:C255,'Data Intelligence Dashboard'!D6:D255)</f>
        <v>Michael Brown</v>
      </c>
      <c r="C6" s="59">
        <f>SUMIF('Data Intelligence Dashboard'!C6:C255,A6,'Data Intelligence Dashboard'!N6:N255)</f>
        <v>6169.7400000000007</v>
      </c>
      <c r="E6" s="19" t="str">
        <v>Paul Baker</v>
      </c>
      <c r="F6" s="19" t="str">
        <v>CUST023</v>
      </c>
      <c r="G6" s="19" t="str">
        <v>Monitor</v>
      </c>
      <c r="H6" s="19" t="str">
        <v>Electronics</v>
      </c>
      <c r="I6" s="58">
        <v>8559.7699999999986</v>
      </c>
    </row>
    <row r="7" spans="1:12" x14ac:dyDescent="0.25">
      <c r="A7" s="51" t="str">
        <v>CUST024</v>
      </c>
      <c r="B7" s="51" t="str">
        <f>_xlfn.XLOOKUP(A7,'Data Intelligence Dashboard'!C7:C256,'Data Intelligence Dashboard'!D7:D256)</f>
        <v>Dorothy Nelson</v>
      </c>
      <c r="C7" s="60">
        <f>SUMIF('Data Intelligence Dashboard'!C7:C256,A7,'Data Intelligence Dashboard'!N7:N256)</f>
        <v>8269.7900000000009</v>
      </c>
      <c r="E7" s="51" t="str">
        <v>Dorothy Nelson</v>
      </c>
      <c r="F7" s="51" t="str">
        <v>CUST024</v>
      </c>
      <c r="G7" s="51" t="str">
        <v>Blender</v>
      </c>
      <c r="H7" s="51" t="str">
        <v>Appliances</v>
      </c>
      <c r="I7" s="60">
        <v>8269.7900000000009</v>
      </c>
    </row>
    <row r="8" spans="1:12" x14ac:dyDescent="0.25">
      <c r="A8" s="53" t="str">
        <v>CUST017</v>
      </c>
      <c r="B8" s="53" t="str">
        <f>_xlfn.XLOOKUP(A8,'Data Intelligence Dashboard'!C8:C257,'Data Intelligence Dashboard'!D8:D257)</f>
        <v>Charles Allen</v>
      </c>
      <c r="C8" s="59">
        <f>SUMIF('Data Intelligence Dashboard'!C8:C257,A8,'Data Intelligence Dashboard'!N8:N257)</f>
        <v>5089.7300000000005</v>
      </c>
      <c r="E8" s="19" t="str">
        <v>Karen Hill</v>
      </c>
      <c r="F8" s="19" t="str">
        <v>CUST026</v>
      </c>
      <c r="G8" s="19" t="str">
        <v>Blender</v>
      </c>
      <c r="H8" s="19" t="str">
        <v>Appliances</v>
      </c>
      <c r="I8" s="58">
        <v>8009.7699999999995</v>
      </c>
    </row>
    <row r="9" spans="1:12" x14ac:dyDescent="0.25">
      <c r="A9" s="51" t="str">
        <v>CUST009</v>
      </c>
      <c r="B9" s="51" t="str">
        <f>_xlfn.XLOOKUP(A9,'Data Intelligence Dashboard'!C9:C258,'Data Intelligence Dashboard'!D9:D258)</f>
        <v>Robert Thomas</v>
      </c>
      <c r="C9" s="60">
        <f>SUMIF('Data Intelligence Dashboard'!C9:C258,A9,'Data Intelligence Dashboard'!N9:N258)</f>
        <v>3509.8999999999996</v>
      </c>
      <c r="E9" s="51" t="str">
        <v>Daniel King</v>
      </c>
      <c r="F9" s="51" t="str">
        <v>CUST019</v>
      </c>
      <c r="G9" s="51" t="str">
        <v>Coffee Maker</v>
      </c>
      <c r="H9" s="51" t="str">
        <v>Appliances</v>
      </c>
      <c r="I9" s="60">
        <v>7309.7999999999993</v>
      </c>
    </row>
    <row r="10" spans="1:12" x14ac:dyDescent="0.25">
      <c r="A10" s="53" t="str">
        <v>CUST026</v>
      </c>
      <c r="B10" s="53" t="str">
        <f>_xlfn.XLOOKUP(A10,'Data Intelligence Dashboard'!C10:C259,'Data Intelligence Dashboard'!D10:D259)</f>
        <v>Karen Hill</v>
      </c>
      <c r="C10" s="59">
        <f>SUMIF('Data Intelligence Dashboard'!C10:C259,A10,'Data Intelligence Dashboard'!N10:N259)</f>
        <v>8009.7699999999995</v>
      </c>
      <c r="E10" s="19" t="str">
        <v>Lawrence Reed</v>
      </c>
      <c r="F10" s="19" t="str">
        <v>CUST039</v>
      </c>
      <c r="G10" s="19" t="str">
        <v>Coffee Maker</v>
      </c>
      <c r="H10" s="19" t="str">
        <v>Appliances</v>
      </c>
      <c r="I10" s="58">
        <v>6989.7699999999986</v>
      </c>
    </row>
    <row r="11" spans="1:12" x14ac:dyDescent="0.25">
      <c r="A11" s="51" t="str">
        <v>CUST022</v>
      </c>
      <c r="B11" s="51" t="str">
        <f>_xlfn.XLOOKUP(A11,'Data Intelligence Dashboard'!C11:C260,'Data Intelligence Dashboard'!D11:D260)</f>
        <v>Susan Green</v>
      </c>
      <c r="C11" s="60">
        <f>SUMIF('Data Intelligence Dashboard'!C11:C260,A11,'Data Intelligence Dashboard'!N11:N260)</f>
        <v>1979.89</v>
      </c>
      <c r="E11" s="51" t="str">
        <v>Joseph Jackson</v>
      </c>
      <c r="F11" s="51" t="str">
        <v>CUST013</v>
      </c>
      <c r="G11" s="51" t="str">
        <v>Monitor</v>
      </c>
      <c r="H11" s="51" t="str">
        <v>Electronics</v>
      </c>
      <c r="I11" s="60">
        <v>6949.84</v>
      </c>
    </row>
    <row r="12" spans="1:12" x14ac:dyDescent="0.25">
      <c r="A12" s="53" t="str">
        <v>CUST041</v>
      </c>
      <c r="B12" s="53" t="str">
        <f>_xlfn.XLOOKUP(A12,'Data Intelligence Dashboard'!C12:C261,'Data Intelligence Dashboard'!D12:D261)</f>
        <v>Peter Richardson</v>
      </c>
      <c r="C12" s="59">
        <f>SUMIF('Data Intelligence Dashboard'!C12:C261,A12,'Data Intelligence Dashboard'!N12:N261)</f>
        <v>5949.85</v>
      </c>
      <c r="E12" s="100" t="s">
        <v>450</v>
      </c>
      <c r="F12" s="100"/>
      <c r="G12" s="100"/>
      <c r="H12" s="100"/>
      <c r="I12" s="100"/>
    </row>
    <row r="13" spans="1:12" x14ac:dyDescent="0.25">
      <c r="A13" s="51" t="str">
        <v>CUST043</v>
      </c>
      <c r="B13" s="51" t="str">
        <f>_xlfn.XLOOKUP(A13,'Data Intelligence Dashboard'!C13:C262,'Data Intelligence Dashboard'!D13:D262)</f>
        <v>Dennis Gray</v>
      </c>
      <c r="C13" s="60">
        <f>SUMIF('Data Intelligence Dashboard'!C13:C262,A13,'Data Intelligence Dashboard'!N13:N262)</f>
        <v>479.91999999999996</v>
      </c>
      <c r="E13" s="100"/>
      <c r="F13" s="100"/>
      <c r="G13" s="100"/>
      <c r="H13" s="100"/>
      <c r="I13" s="100"/>
    </row>
    <row r="14" spans="1:12" x14ac:dyDescent="0.25">
      <c r="A14" s="53" t="str">
        <v>CUST038</v>
      </c>
      <c r="B14" s="53" t="str">
        <f>_xlfn.XLOOKUP(A14,'Data Intelligence Dashboard'!C14:C263,'Data Intelligence Dashboard'!D14:D263)</f>
        <v>Michelle Rogers</v>
      </c>
      <c r="C14" s="59">
        <f>SUMIF('Data Intelligence Dashboard'!C14:C263,A14,'Data Intelligence Dashboard'!N14:N263)</f>
        <v>4199.9400000000005</v>
      </c>
    </row>
    <row r="15" spans="1:12" x14ac:dyDescent="0.25">
      <c r="A15" s="51" t="str">
        <v>CUST027</v>
      </c>
      <c r="B15" s="51" t="str">
        <f>_xlfn.XLOOKUP(A15,'Data Intelligence Dashboard'!C15:C264,'Data Intelligence Dashboard'!D15:D264)</f>
        <v>George Adams</v>
      </c>
      <c r="C15" s="60">
        <f>SUMIF('Data Intelligence Dashboard'!C15:C264,A15,'Data Intelligence Dashboard'!N15:N264)</f>
        <v>3779.93</v>
      </c>
      <c r="F15" s="56"/>
    </row>
    <row r="16" spans="1:12" x14ac:dyDescent="0.25">
      <c r="A16" s="53" t="str">
        <v>CUST025</v>
      </c>
      <c r="B16" s="53" t="str">
        <f>_xlfn.XLOOKUP(A16,'Data Intelligence Dashboard'!C16:C265,'Data Intelligence Dashboard'!D16:D265)</f>
        <v>Mark Carter</v>
      </c>
      <c r="C16" s="59">
        <f>SUMIF('Data Intelligence Dashboard'!C16:C265,A16,'Data Intelligence Dashboard'!N16:N265)</f>
        <v>15659.65</v>
      </c>
    </row>
    <row r="17" spans="1:3" x14ac:dyDescent="0.25">
      <c r="A17" s="51" t="str">
        <v>CUST010</v>
      </c>
      <c r="B17" s="51" t="str">
        <f>_xlfn.XLOOKUP(A17,'Data Intelligence Dashboard'!C17:C266,'Data Intelligence Dashboard'!D17:D266)</f>
        <v>Maria Garcia</v>
      </c>
      <c r="C17" s="60">
        <f>SUMIF('Data Intelligence Dashboard'!C17:C266,A17,'Data Intelligence Dashboard'!N17:N266)</f>
        <v>1909.93</v>
      </c>
    </row>
    <row r="18" spans="1:3" x14ac:dyDescent="0.25">
      <c r="A18" s="53" t="str">
        <v>CUST048</v>
      </c>
      <c r="B18" s="53" t="str">
        <f>_xlfn.XLOOKUP(A18,'Data Intelligence Dashboard'!C18:C267,'Data Intelligence Dashboard'!D18:D267)</f>
        <v>Virginia Sanders</v>
      </c>
      <c r="C18" s="59">
        <f>SUMIF('Data Intelligence Dashboard'!C18:C267,A18,'Data Intelligence Dashboard'!N18:N267)</f>
        <v>4789.7900000000009</v>
      </c>
    </row>
    <row r="19" spans="1:3" x14ac:dyDescent="0.25">
      <c r="A19" s="51" t="str">
        <v>CUST018</v>
      </c>
      <c r="B19" s="51" t="str">
        <f>_xlfn.XLOOKUP(A19,'Data Intelligence Dashboard'!C19:C268,'Data Intelligence Dashboard'!D19:D268)</f>
        <v>Barbara Young</v>
      </c>
      <c r="C19" s="60">
        <f>SUMIF('Data Intelligence Dashboard'!C19:C268,A19,'Data Intelligence Dashboard'!N19:N268)</f>
        <v>10649.8</v>
      </c>
    </row>
    <row r="20" spans="1:3" x14ac:dyDescent="0.25">
      <c r="A20" s="53" t="str">
        <v>CUST012</v>
      </c>
      <c r="B20" s="53" t="str">
        <f>_xlfn.XLOOKUP(A20,'Data Intelligence Dashboard'!C20:C269,'Data Intelligence Dashboard'!D20:D269)</f>
        <v>Patricia Moore</v>
      </c>
      <c r="C20" s="59">
        <f>SUMIF('Data Intelligence Dashboard'!C20:C269,A20,'Data Intelligence Dashboard'!N20:N269)</f>
        <v>9799.73</v>
      </c>
    </row>
    <row r="21" spans="1:3" x14ac:dyDescent="0.25">
      <c r="A21" s="51" t="str">
        <v>CUST044</v>
      </c>
      <c r="B21" s="51" t="str">
        <f>_xlfn.XLOOKUP(A21,'Data Intelligence Dashboard'!C21:C270,'Data Intelligence Dashboard'!D21:D270)</f>
        <v>Cynthia Price</v>
      </c>
      <c r="C21" s="60">
        <f>SUMIF('Data Intelligence Dashboard'!C21:C270,A21,'Data Intelligence Dashboard'!N21:N270)</f>
        <v>3769.8300000000004</v>
      </c>
    </row>
    <row r="22" spans="1:3" x14ac:dyDescent="0.25">
      <c r="A22" s="53" t="str">
        <v>CUST036</v>
      </c>
      <c r="B22" s="53" t="str">
        <f>_xlfn.XLOOKUP(A22,'Data Intelligence Dashboard'!C22:C271,'Data Intelligence Dashboard'!D22:D271)</f>
        <v>Nancy Collins</v>
      </c>
      <c r="C22" s="59">
        <f>SUMIF('Data Intelligence Dashboard'!C22:C271,A22,'Data Intelligence Dashboard'!N22:N271)</f>
        <v>4189.7700000000004</v>
      </c>
    </row>
    <row r="23" spans="1:3" x14ac:dyDescent="0.25">
      <c r="A23" s="51" t="str">
        <v>CUST014</v>
      </c>
      <c r="B23" s="51" t="str">
        <f>_xlfn.XLOOKUP(A23,'Data Intelligence Dashboard'!C23:C272,'Data Intelligence Dashboard'!D23:D272)</f>
        <v>Linda Martin</v>
      </c>
      <c r="C23" s="60">
        <f>SUMIF('Data Intelligence Dashboard'!C23:C272,A23,'Data Intelligence Dashboard'!N23:N272)</f>
        <v>1289.9000000000001</v>
      </c>
    </row>
    <row r="24" spans="1:3" x14ac:dyDescent="0.25">
      <c r="A24" s="53" t="str">
        <v>CUST030</v>
      </c>
      <c r="B24" s="53" t="str">
        <f>_xlfn.XLOOKUP(A24,'Data Intelligence Dashboard'!C24:C273,'Data Intelligence Dashboard'!D24:D273)</f>
        <v>Helen Roberts</v>
      </c>
      <c r="C24" s="59">
        <f>SUMIF('Data Intelligence Dashboard'!C24:C273,A24,'Data Intelligence Dashboard'!N24:N273)</f>
        <v>6459.79</v>
      </c>
    </row>
    <row r="25" spans="1:3" x14ac:dyDescent="0.25">
      <c r="A25" s="51" t="str">
        <v>CUST029</v>
      </c>
      <c r="B25" s="51" t="str">
        <f>_xlfn.XLOOKUP(A25,'Data Intelligence Dashboard'!C25:C274,'Data Intelligence Dashboard'!D25:D274)</f>
        <v>Edward Mitchell</v>
      </c>
      <c r="C25" s="60">
        <f>SUMIF('Data Intelligence Dashboard'!C25:C274,A25,'Data Intelligence Dashboard'!N25:N274)</f>
        <v>11919.77</v>
      </c>
    </row>
    <row r="26" spans="1:3" x14ac:dyDescent="0.25">
      <c r="A26" s="53" t="str">
        <v>CUST006</v>
      </c>
      <c r="B26" s="53" t="str">
        <f>_xlfn.XLOOKUP(A26,'Data Intelligence Dashboard'!C26:C275,'Data Intelligence Dashboard'!D26:D275)</f>
        <v>Lisa Anderson</v>
      </c>
      <c r="C26" s="59">
        <f>SUMIF('Data Intelligence Dashboard'!C26:C275,A26,'Data Intelligence Dashboard'!N26:N275)</f>
        <v>2039.8000000000002</v>
      </c>
    </row>
    <row r="27" spans="1:3" x14ac:dyDescent="0.25">
      <c r="A27" s="51" t="str">
        <v>CUST002</v>
      </c>
      <c r="B27" s="51" t="str">
        <f>_xlfn.XLOOKUP(A27,'Data Intelligence Dashboard'!C27:C276,'Data Intelligence Dashboard'!D27:D276)</f>
        <v>Emma Wilson</v>
      </c>
      <c r="C27" s="60">
        <f>SUMIF('Data Intelligence Dashboard'!C27:C276,A27,'Data Intelligence Dashboard'!N27:N276)</f>
        <v>1229.8800000000001</v>
      </c>
    </row>
    <row r="28" spans="1:3" x14ac:dyDescent="0.25">
      <c r="A28" s="53" t="str">
        <v>CUST031</v>
      </c>
      <c r="B28" s="53" t="str">
        <f>_xlfn.XLOOKUP(A28,'Data Intelligence Dashboard'!C28:C277,'Data Intelligence Dashboard'!D28:D277)</f>
        <v>Steven Turner</v>
      </c>
      <c r="C28" s="59">
        <f>SUMIF('Data Intelligence Dashboard'!C28:C277,A28,'Data Intelligence Dashboard'!N28:N277)</f>
        <v>2649.83</v>
      </c>
    </row>
    <row r="29" spans="1:3" x14ac:dyDescent="0.25">
      <c r="A29" s="51" t="str">
        <v>CUST008</v>
      </c>
      <c r="B29" s="51" t="str">
        <f>_xlfn.XLOOKUP(A29,'Data Intelligence Dashboard'!C29:C278,'Data Intelligence Dashboard'!D29:D278)</f>
        <v>Jennifer Taylor</v>
      </c>
      <c r="C29" s="60">
        <f>SUMIF('Data Intelligence Dashboard'!C29:C278,A29,'Data Intelligence Dashboard'!N29:N278)</f>
        <v>4739.8500000000004</v>
      </c>
    </row>
    <row r="30" spans="1:3" x14ac:dyDescent="0.25">
      <c r="A30" s="53" t="str">
        <v>CUST035</v>
      </c>
      <c r="B30" s="53" t="str">
        <f>_xlfn.XLOOKUP(A30,'Data Intelligence Dashboard'!C30:C279,'Data Intelligence Dashboard'!D30:D279)</f>
        <v>Harry Morgan</v>
      </c>
      <c r="C30" s="59">
        <f>SUMIF('Data Intelligence Dashboard'!C30:C279,A30,'Data Intelligence Dashboard'!N30:N279)</f>
        <v>5519.8899999999994</v>
      </c>
    </row>
    <row r="31" spans="1:3" x14ac:dyDescent="0.25">
      <c r="A31" s="51" t="str">
        <v>CUST019</v>
      </c>
      <c r="B31" s="51" t="str">
        <f>_xlfn.XLOOKUP(A31,'Data Intelligence Dashboard'!C31:C280,'Data Intelligence Dashboard'!D31:D280)</f>
        <v>Daniel King</v>
      </c>
      <c r="C31" s="60">
        <f>SUMIF('Data Intelligence Dashboard'!C31:C280,A31,'Data Intelligence Dashboard'!N31:N280)</f>
        <v>7309.7999999999993</v>
      </c>
    </row>
    <row r="32" spans="1:3" x14ac:dyDescent="0.25">
      <c r="A32" s="53" t="str">
        <v>CUST040</v>
      </c>
      <c r="B32" s="53" t="str">
        <f>_xlfn.XLOOKUP(A32,'Data Intelligence Dashboard'!C32:C281,'Data Intelligence Dashboard'!D32:D281)</f>
        <v>Sharon Butler</v>
      </c>
      <c r="C32" s="59">
        <f>SUMIF('Data Intelligence Dashboard'!C32:C281,A32,'Data Intelligence Dashboard'!N32:N281)</f>
        <v>5619.87</v>
      </c>
    </row>
    <row r="33" spans="1:3" x14ac:dyDescent="0.25">
      <c r="A33" s="51" t="str">
        <v>CUST004</v>
      </c>
      <c r="B33" s="51" t="str">
        <f>_xlfn.XLOOKUP(A33,'Data Intelligence Dashboard'!C33:C282,'Data Intelligence Dashboard'!D33:D282)</f>
        <v>Sarah Davis</v>
      </c>
      <c r="C33" s="60">
        <f>SUMIF('Data Intelligence Dashboard'!C33:C282,A33,'Data Intelligence Dashboard'!N33:N282)</f>
        <v>5499.81</v>
      </c>
    </row>
    <row r="34" spans="1:3" x14ac:dyDescent="0.25">
      <c r="A34" s="53" t="str">
        <v>CUST028</v>
      </c>
      <c r="B34" s="53" t="str">
        <f>_xlfn.XLOOKUP(A34,'Data Intelligence Dashboard'!C34:C283,'Data Intelligence Dashboard'!D34:D283)</f>
        <v>Betty Campbell</v>
      </c>
      <c r="C34" s="59">
        <f>SUMIF('Data Intelligence Dashboard'!C34:C283,A34,'Data Intelligence Dashboard'!N34:N283)</f>
        <v>5649.84</v>
      </c>
    </row>
    <row r="35" spans="1:3" x14ac:dyDescent="0.25">
      <c r="A35" s="51" t="str">
        <v>CUST050</v>
      </c>
      <c r="B35" s="51" t="str">
        <f>_xlfn.XLOOKUP(A35,'Data Intelligence Dashboard'!C35:C284,'Data Intelligence Dashboard'!D35:D284)</f>
        <v>Julie Foster</v>
      </c>
      <c r="C35" s="60">
        <f>SUMIF('Data Intelligence Dashboard'!C35:C284,A35,'Data Intelligence Dashboard'!N35:N284)</f>
        <v>239.96</v>
      </c>
    </row>
    <row r="36" spans="1:3" x14ac:dyDescent="0.25">
      <c r="A36" s="53" t="str">
        <v>CUST049</v>
      </c>
      <c r="B36" s="53" t="str">
        <f>_xlfn.XLOOKUP(A36,'Data Intelligence Dashboard'!C36:C285,'Data Intelligence Dashboard'!D36:D285)</f>
        <v>Raymond Ross</v>
      </c>
      <c r="C36" s="59">
        <f>SUMIF('Data Intelligence Dashboard'!C36:C285,A36,'Data Intelligence Dashboard'!N36:N285)</f>
        <v>3669.85</v>
      </c>
    </row>
    <row r="37" spans="1:3" x14ac:dyDescent="0.25">
      <c r="A37" s="51" t="str">
        <v>CUST007</v>
      </c>
      <c r="B37" s="51" t="str">
        <f>_xlfn.XLOOKUP(A37,'Data Intelligence Dashboard'!C37:C286,'Data Intelligence Dashboard'!D37:D286)</f>
        <v>David Martinez</v>
      </c>
      <c r="C37" s="60">
        <f>SUMIF('Data Intelligence Dashboard'!C37:C286,A37,'Data Intelligence Dashboard'!N37:N286)</f>
        <v>1809.84</v>
      </c>
    </row>
    <row r="38" spans="1:3" x14ac:dyDescent="0.25">
      <c r="A38" s="53" t="str">
        <v>CUST020</v>
      </c>
      <c r="B38" s="53" t="str">
        <f>_xlfn.XLOOKUP(A38,'Data Intelligence Dashboard'!C38:C287,'Data Intelligence Dashboard'!D38:D287)</f>
        <v>Margaret Wright</v>
      </c>
      <c r="C38" s="59">
        <f>SUMIF('Data Intelligence Dashboard'!C38:C287,A38,'Data Intelligence Dashboard'!N38:N287)</f>
        <v>2099.88</v>
      </c>
    </row>
    <row r="39" spans="1:3" x14ac:dyDescent="0.25">
      <c r="A39" s="51" t="str">
        <v>CUST033</v>
      </c>
      <c r="B39" s="51" t="str">
        <f>_xlfn.XLOOKUP(A39,'Data Intelligence Dashboard'!C39:C288,'Data Intelligence Dashboard'!D39:D288)</f>
        <v>Frank Torres</v>
      </c>
      <c r="C39" s="60">
        <f>SUMIF('Data Intelligence Dashboard'!C39:C288,A39,'Data Intelligence Dashboard'!N39:N288)</f>
        <v>1479.91</v>
      </c>
    </row>
    <row r="40" spans="1:3" x14ac:dyDescent="0.25">
      <c r="A40" s="53" t="str">
        <v>CUST047</v>
      </c>
      <c r="B40" s="53" t="str">
        <f>_xlfn.XLOOKUP(A40,'Data Intelligence Dashboard'!C40:C289,'Data Intelligence Dashboard'!D40:D289)</f>
        <v>Gerald Murphy</v>
      </c>
      <c r="C40" s="59">
        <f>SUMIF('Data Intelligence Dashboard'!C40:C289,A40,'Data Intelligence Dashboard'!N40:N289)</f>
        <v>6379.87</v>
      </c>
    </row>
    <row r="41" spans="1:3" x14ac:dyDescent="0.25">
      <c r="A41" s="51" t="str">
        <v>CUST016</v>
      </c>
      <c r="B41" s="51" t="str">
        <f>_xlfn.XLOOKUP(A41,'Data Intelligence Dashboard'!C41:C290,'Data Intelligence Dashboard'!D41:D290)</f>
        <v>Elizabeth Hall</v>
      </c>
      <c r="C41" s="60">
        <f>SUMIF('Data Intelligence Dashboard'!C41:C290,A41,'Data Intelligence Dashboard'!N41:N290)</f>
        <v>3649.8599999999997</v>
      </c>
    </row>
    <row r="42" spans="1:3" x14ac:dyDescent="0.25">
      <c r="A42" s="53" t="str">
        <v>CUST039</v>
      </c>
      <c r="B42" s="53" t="str">
        <f>_xlfn.XLOOKUP(A42,'Data Intelligence Dashboard'!C42:C291,'Data Intelligence Dashboard'!D42:D291)</f>
        <v>Lawrence Reed</v>
      </c>
      <c r="C42" s="59">
        <f>SUMIF('Data Intelligence Dashboard'!C42:C291,A42,'Data Intelligence Dashboard'!N42:N291)</f>
        <v>6989.7699999999986</v>
      </c>
    </row>
    <row r="43" spans="1:3" x14ac:dyDescent="0.25">
      <c r="A43" s="51" t="str">
        <v>CUST034</v>
      </c>
      <c r="B43" s="51" t="str">
        <f>_xlfn.XLOOKUP(A43,'Data Intelligence Dashboard'!C43:C292,'Data Intelligence Dashboard'!D43:D292)</f>
        <v>Carol Evans</v>
      </c>
      <c r="C43" s="60">
        <f>SUMIF('Data Intelligence Dashboard'!C43:C292,A43,'Data Intelligence Dashboard'!N43:N292)</f>
        <v>1149.93</v>
      </c>
    </row>
    <row r="44" spans="1:3" x14ac:dyDescent="0.25">
      <c r="A44" s="53" t="str">
        <v>CUST032</v>
      </c>
      <c r="B44" s="53" t="str">
        <f>_xlfn.XLOOKUP(A44,'Data Intelligence Dashboard'!C44:C293,'Data Intelligence Dashboard'!D44:D293)</f>
        <v>Sandra Phillips</v>
      </c>
      <c r="C44" s="59">
        <f>SUMIF('Data Intelligence Dashboard'!C44:C293,A44,'Data Intelligence Dashboard'!N44:N293)</f>
        <v>6349.8300000000008</v>
      </c>
    </row>
    <row r="45" spans="1:3" x14ac:dyDescent="0.25">
      <c r="A45" s="51" t="str">
        <v>CUST042</v>
      </c>
      <c r="B45" s="51" t="str">
        <f>_xlfn.XLOOKUP(A45,'Data Intelligence Dashboard'!C45:C294,'Data Intelligence Dashboard'!D45:D294)</f>
        <v>Ruth Brooks</v>
      </c>
      <c r="C45" s="60">
        <f>SUMIF('Data Intelligence Dashboard'!C45:C294,A45,'Data Intelligence Dashboard'!N45:N294)</f>
        <v>1749.92</v>
      </c>
    </row>
    <row r="46" spans="1:3" x14ac:dyDescent="0.25">
      <c r="A46" s="53" t="str">
        <v>CUST011</v>
      </c>
      <c r="B46" s="53" t="str">
        <f>_xlfn.XLOOKUP(A46,'Data Intelligence Dashboard'!C46:C295,'Data Intelligence Dashboard'!D46:D295)</f>
        <v>William White</v>
      </c>
      <c r="C46" s="59">
        <f>SUMIF('Data Intelligence Dashboard'!C46:C295,A46,'Data Intelligence Dashboard'!N46:N295)</f>
        <v>4749.91</v>
      </c>
    </row>
    <row r="47" spans="1:3" x14ac:dyDescent="0.25">
      <c r="A47" s="51" t="str">
        <v>CUST015</v>
      </c>
      <c r="B47" s="51" t="str">
        <f>_xlfn.XLOOKUP(A47,'Data Intelligence Dashboard'!C47:C296,'Data Intelligence Dashboard'!D47:D296)</f>
        <v>Richard Lee</v>
      </c>
      <c r="C47" s="60">
        <f>SUMIF('Data Intelligence Dashboard'!C47:C296,A47,'Data Intelligence Dashboard'!N47:N296)</f>
        <v>739.93000000000006</v>
      </c>
    </row>
    <row r="48" spans="1:3" x14ac:dyDescent="0.25">
      <c r="A48" s="53" t="str">
        <v>CUST045</v>
      </c>
      <c r="B48" s="53" t="str">
        <f>_xlfn.XLOOKUP(A48,'Data Intelligence Dashboard'!C48:C297,'Data Intelligence Dashboard'!D48:D297)</f>
        <v>Douglas Watson</v>
      </c>
      <c r="C48" s="59">
        <f>SUMIF('Data Intelligence Dashboard'!C48:C297,A48,'Data Intelligence Dashboard'!N48:N297)</f>
        <v>4829.8900000000003</v>
      </c>
    </row>
    <row r="49" spans="1:3" x14ac:dyDescent="0.25">
      <c r="A49" s="51" t="str">
        <v>CUST005</v>
      </c>
      <c r="B49" s="51" t="str">
        <f>_xlfn.XLOOKUP(A49,'Data Intelligence Dashboard'!C49:C298,'Data Intelligence Dashboard'!D49:D298)</f>
        <v>James Johnson</v>
      </c>
      <c r="C49" s="60">
        <f>SUMIF('Data Intelligence Dashboard'!C49:C298,A49,'Data Intelligence Dashboard'!N49:N298)</f>
        <v>179.97</v>
      </c>
    </row>
    <row r="50" spans="1:3" x14ac:dyDescent="0.25">
      <c r="A50" s="53" t="str">
        <v>CUST037</v>
      </c>
      <c r="B50" s="53" t="str">
        <f>_xlfn.XLOOKUP(A50,'Data Intelligence Dashboard'!C50:C299,'Data Intelligence Dashboard'!D50:D299)</f>
        <v>Arthur Edwards</v>
      </c>
      <c r="C50" s="59">
        <f>SUMIF('Data Intelligence Dashboard'!C50:C299,A50,'Data Intelligence Dashboard'!N50:N299)</f>
        <v>1559.94</v>
      </c>
    </row>
    <row r="51" spans="1:3" x14ac:dyDescent="0.25">
      <c r="A51" s="51" t="str">
        <v>CUST001</v>
      </c>
      <c r="B51" s="51" t="str">
        <f>_xlfn.XLOOKUP(A51,'Data Intelligence Dashboard'!C51:C300,'Data Intelligence Dashboard'!D51:D300)</f>
        <v>John Smith</v>
      </c>
      <c r="C51" s="60">
        <f>SUMIF('Data Intelligence Dashboard'!C51:C300,A51,'Data Intelligence Dashboard'!N51:N300)</f>
        <v>599.96</v>
      </c>
    </row>
  </sheetData>
  <autoFilter ref="A1:C51" xr:uid="{B4A01BD0-618F-40C1-B8DC-9080655837F0}"/>
  <mergeCells count="2">
    <mergeCell ref="E12:I13"/>
    <mergeCell ref="K1: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5821-1768-4C8C-A846-3AFD03C52586}">
  <dimension ref="A1:L254"/>
  <sheetViews>
    <sheetView topLeftCell="A13" workbookViewId="0">
      <selection activeCell="N5" sqref="N5"/>
    </sheetView>
  </sheetViews>
  <sheetFormatPr defaultRowHeight="15" x14ac:dyDescent="0.25"/>
  <cols>
    <col min="1" max="1" width="27.5703125" customWidth="1"/>
    <col min="2" max="2" width="25.42578125" customWidth="1"/>
    <col min="3" max="3" width="9.140625" customWidth="1"/>
    <col min="4" max="4" width="28.7109375" customWidth="1"/>
    <col min="5" max="5" width="34.42578125" customWidth="1"/>
    <col min="6" max="6" width="17" customWidth="1"/>
    <col min="7" max="7" width="21.28515625" customWidth="1"/>
    <col min="11" max="11" width="29" customWidth="1"/>
    <col min="12" max="12" width="19.140625" customWidth="1"/>
  </cols>
  <sheetData>
    <row r="1" spans="1:12" ht="15" customHeight="1" x14ac:dyDescent="0.25">
      <c r="A1" s="55" t="s">
        <v>448</v>
      </c>
      <c r="B1" s="55" t="s">
        <v>451</v>
      </c>
      <c r="E1" s="101" t="s">
        <v>453</v>
      </c>
      <c r="F1" s="102"/>
      <c r="G1" s="103"/>
      <c r="K1" s="107" t="s">
        <v>457</v>
      </c>
      <c r="L1" s="107"/>
    </row>
    <row r="2" spans="1:12" ht="15" customHeight="1" x14ac:dyDescent="0.25">
      <c r="A2" s="51" t="str" cm="1">
        <f t="array" ref="A2:A11">_xlfn.UNIQUE('Data Intelligence Dashboard'!F2:F251)</f>
        <v>Monitor</v>
      </c>
      <c r="B2" s="51" cm="1">
        <f t="array" ref="B2:B11">COUNTIF('Data Intelligence Dashboard'!F2:F251,_xlfn.ANCHORARRAY(A2))</f>
        <v>26</v>
      </c>
      <c r="E2" s="104"/>
      <c r="F2" s="105"/>
      <c r="G2" s="106"/>
      <c r="K2" s="107"/>
      <c r="L2" s="107"/>
    </row>
    <row r="3" spans="1:12" ht="15" customHeight="1" x14ac:dyDescent="0.25">
      <c r="A3" s="19" t="str">
        <v>Blender</v>
      </c>
      <c r="B3" s="19">
        <v>29</v>
      </c>
      <c r="E3" s="63" t="s">
        <v>454</v>
      </c>
      <c r="F3" s="63" t="s">
        <v>455</v>
      </c>
      <c r="G3" s="63" t="s">
        <v>456</v>
      </c>
      <c r="K3" s="63" t="s">
        <v>446</v>
      </c>
      <c r="L3" s="63" t="s">
        <v>458</v>
      </c>
    </row>
    <row r="4" spans="1:12" x14ac:dyDescent="0.25">
      <c r="A4" s="64" t="str">
        <v>Bookshelf</v>
      </c>
      <c r="B4" s="64">
        <v>35</v>
      </c>
      <c r="E4" s="19" t="str">
        <f>'Data Intelligence Dashboard'!D2</f>
        <v>Paul Baker</v>
      </c>
      <c r="F4" s="19" t="str" cm="1">
        <f t="array" ref="F4:F13">_xlfn._xlws.FILTER('HIGH VALUE CUSTOMERS'!E2:E11,'HIGH VALUE CUSTOMERS'!E2:E11&lt;&gt;"")</f>
        <v>Mark Carter</v>
      </c>
      <c r="G4" s="19" t="str" cm="1">
        <f t="array" ref="G4:G13">_xlfn.UNIQUE(_xlfn._xlws.FILTER(E4:E253,COUNTIF(F4:F13,E4:E253)&gt;0))</f>
        <v>Paul Baker</v>
      </c>
      <c r="K4" s="19" t="str">
        <f>E4</f>
        <v>Paul Baker</v>
      </c>
      <c r="L4" s="19" t="str">
        <f>LEFT(K4,1)&amp;LEFT(RIGHT(K4,LEN(K4)-FIND(" ",K4)),1)</f>
        <v>PB</v>
      </c>
    </row>
    <row r="5" spans="1:12" x14ac:dyDescent="0.25">
      <c r="A5" s="19" t="str">
        <v>Headphones</v>
      </c>
      <c r="B5" s="19">
        <v>16</v>
      </c>
      <c r="E5" s="19" t="str">
        <f>'Data Intelligence Dashboard'!D3</f>
        <v>Joseph Jackson</v>
      </c>
      <c r="F5" s="19" t="str">
        <v>Edward Mitchell</v>
      </c>
      <c r="G5" s="19" t="str">
        <v>Joseph Jackson</v>
      </c>
      <c r="K5" s="19" t="str">
        <f t="shared" ref="K5:K68" si="0">E5</f>
        <v>Joseph Jackson</v>
      </c>
      <c r="L5" s="19" t="str">
        <f t="shared" ref="L5:L68" si="1">LEFT(K5,1)&amp;LEFT(RIGHT(K5,LEN(K5)-FIND(" ",K5)),1)</f>
        <v>JJ</v>
      </c>
    </row>
    <row r="6" spans="1:12" x14ac:dyDescent="0.25">
      <c r="A6" s="51" t="str">
        <v>Laptop</v>
      </c>
      <c r="B6" s="51">
        <v>24</v>
      </c>
      <c r="E6" s="19" t="str">
        <f>'Data Intelligence Dashboard'!D4</f>
        <v>Kevin Scott</v>
      </c>
      <c r="F6" s="19" t="str">
        <v>Barbara Young</v>
      </c>
      <c r="G6" s="19" t="str">
        <v>Dorothy Nelson</v>
      </c>
      <c r="K6" s="19" t="str">
        <f t="shared" si="0"/>
        <v>Kevin Scott</v>
      </c>
      <c r="L6" s="19" t="str">
        <f t="shared" si="1"/>
        <v>KS</v>
      </c>
    </row>
    <row r="7" spans="1:12" x14ac:dyDescent="0.25">
      <c r="A7" s="19" t="str">
        <v>Smartphone</v>
      </c>
      <c r="B7" s="19">
        <v>31</v>
      </c>
      <c r="E7" s="19" t="str">
        <f>'Data Intelligence Dashboard'!D5</f>
        <v>Kathleen Bennett</v>
      </c>
      <c r="F7" s="19" t="str">
        <v>Patricia Moore</v>
      </c>
      <c r="G7" s="19" t="str">
        <v>Karen Hill</v>
      </c>
      <c r="K7" s="19" t="str">
        <f t="shared" si="0"/>
        <v>Kathleen Bennett</v>
      </c>
      <c r="L7" s="19" t="str">
        <f t="shared" si="1"/>
        <v>KB</v>
      </c>
    </row>
    <row r="8" spans="1:12" x14ac:dyDescent="0.25">
      <c r="A8" s="51" t="str">
        <v>Desk</v>
      </c>
      <c r="B8" s="51">
        <v>26</v>
      </c>
      <c r="E8" s="19" t="str">
        <f>'Data Intelligence Dashboard'!D6</f>
        <v>Michael Brown</v>
      </c>
      <c r="F8" s="19" t="str">
        <v>Paul Baker</v>
      </c>
      <c r="G8" s="19" t="str">
        <v>Mark Carter</v>
      </c>
      <c r="K8" s="19" t="str">
        <f t="shared" si="0"/>
        <v>Michael Brown</v>
      </c>
      <c r="L8" s="19" t="str">
        <f t="shared" si="1"/>
        <v>MB</v>
      </c>
    </row>
    <row r="9" spans="1:12" x14ac:dyDescent="0.25">
      <c r="A9" s="19" t="str">
        <v>Coffee Maker</v>
      </c>
      <c r="B9" s="19">
        <v>14</v>
      </c>
      <c r="E9" s="19" t="str">
        <f>'Data Intelligence Dashboard'!D7</f>
        <v>Dorothy Nelson</v>
      </c>
      <c r="F9" s="19" t="str">
        <v>Dorothy Nelson</v>
      </c>
      <c r="G9" s="19" t="str">
        <v>Barbara Young</v>
      </c>
      <c r="K9" s="19" t="str">
        <f t="shared" si="0"/>
        <v>Dorothy Nelson</v>
      </c>
      <c r="L9" s="19" t="str">
        <f t="shared" si="1"/>
        <v>DN</v>
      </c>
    </row>
    <row r="10" spans="1:12" x14ac:dyDescent="0.25">
      <c r="A10" s="51" t="str">
        <v>Keyboard</v>
      </c>
      <c r="B10" s="51">
        <v>34</v>
      </c>
      <c r="E10" s="19" t="str">
        <f>'Data Intelligence Dashboard'!D8</f>
        <v>Dorothy Nelson</v>
      </c>
      <c r="F10" s="19" t="str">
        <v>Karen Hill</v>
      </c>
      <c r="G10" s="19" t="str">
        <v>Patricia Moore</v>
      </c>
      <c r="K10" s="19" t="str">
        <f t="shared" si="0"/>
        <v>Dorothy Nelson</v>
      </c>
      <c r="L10" s="19" t="str">
        <f t="shared" si="1"/>
        <v>DN</v>
      </c>
    </row>
    <row r="11" spans="1:12" x14ac:dyDescent="0.25">
      <c r="A11" s="19" t="str">
        <v>Office Chair</v>
      </c>
      <c r="B11" s="19">
        <v>15</v>
      </c>
      <c r="E11" s="19" t="str">
        <f>'Data Intelligence Dashboard'!D9</f>
        <v>Charles Allen</v>
      </c>
      <c r="F11" s="19" t="str">
        <v>Daniel King</v>
      </c>
      <c r="G11" s="19" t="str">
        <v>Edward Mitchell</v>
      </c>
      <c r="K11" s="19" t="str">
        <f t="shared" si="0"/>
        <v>Charles Allen</v>
      </c>
      <c r="L11" s="19" t="str">
        <f t="shared" si="1"/>
        <v>CA</v>
      </c>
    </row>
    <row r="12" spans="1:12" x14ac:dyDescent="0.25">
      <c r="B12" s="61"/>
      <c r="E12" s="19" t="str">
        <f>'Data Intelligence Dashboard'!D10</f>
        <v>Robert Thomas</v>
      </c>
      <c r="F12" s="19" t="str">
        <v>Lawrence Reed</v>
      </c>
      <c r="G12" s="19" t="str">
        <v>Daniel King</v>
      </c>
      <c r="K12" s="19" t="str">
        <f t="shared" si="0"/>
        <v>Robert Thomas</v>
      </c>
      <c r="L12" s="19" t="str">
        <f t="shared" si="1"/>
        <v>RT</v>
      </c>
    </row>
    <row r="13" spans="1:12" x14ac:dyDescent="0.25">
      <c r="B13" s="62"/>
      <c r="E13" s="19" t="str">
        <f>'Data Intelligence Dashboard'!D11</f>
        <v>Karen Hill</v>
      </c>
      <c r="F13" s="19" t="str">
        <v>Joseph Jackson</v>
      </c>
      <c r="G13" s="19" t="str">
        <v>Lawrence Reed</v>
      </c>
      <c r="K13" s="19" t="str">
        <f t="shared" si="0"/>
        <v>Karen Hill</v>
      </c>
      <c r="L13" s="19" t="str">
        <f t="shared" si="1"/>
        <v>KH</v>
      </c>
    </row>
    <row r="14" spans="1:12" x14ac:dyDescent="0.25">
      <c r="A14" s="55" t="s">
        <v>452</v>
      </c>
      <c r="E14" s="19" t="str">
        <f>'Data Intelligence Dashboard'!D12</f>
        <v>Susan Green</v>
      </c>
      <c r="K14" s="19" t="str">
        <f t="shared" si="0"/>
        <v>Susan Green</v>
      </c>
      <c r="L14" s="19" t="str">
        <f t="shared" si="1"/>
        <v>SG</v>
      </c>
    </row>
    <row r="15" spans="1:12" x14ac:dyDescent="0.25">
      <c r="A15" s="64" t="str">
        <f>INDEX(A2:A10,MATCH(MAX(B2:B10),B2:B10,0))</f>
        <v>Bookshelf</v>
      </c>
      <c r="E15" s="19" t="str">
        <f>'Data Intelligence Dashboard'!D13</f>
        <v>Kathleen Bennett</v>
      </c>
      <c r="K15" s="19" t="str">
        <f t="shared" si="0"/>
        <v>Kathleen Bennett</v>
      </c>
      <c r="L15" s="19" t="str">
        <f t="shared" si="1"/>
        <v>KB</v>
      </c>
    </row>
    <row r="16" spans="1:12" x14ac:dyDescent="0.25">
      <c r="E16" s="19" t="str">
        <f>'Data Intelligence Dashboard'!D14</f>
        <v>Peter Richardson</v>
      </c>
      <c r="K16" s="19" t="str">
        <f t="shared" si="0"/>
        <v>Peter Richardson</v>
      </c>
      <c r="L16" s="19" t="str">
        <f t="shared" si="1"/>
        <v>PR</v>
      </c>
    </row>
    <row r="17" spans="4:12" x14ac:dyDescent="0.25">
      <c r="E17" s="19" t="str">
        <f>'Data Intelligence Dashboard'!D15</f>
        <v>Dennis Gray</v>
      </c>
      <c r="K17" s="19" t="str">
        <f t="shared" si="0"/>
        <v>Dennis Gray</v>
      </c>
      <c r="L17" s="19" t="str">
        <f t="shared" si="1"/>
        <v>DG</v>
      </c>
    </row>
    <row r="18" spans="4:12" x14ac:dyDescent="0.25">
      <c r="E18" s="19" t="str">
        <f>'Data Intelligence Dashboard'!D16</f>
        <v>Michelle Rogers</v>
      </c>
      <c r="K18" s="19" t="str">
        <f t="shared" si="0"/>
        <v>Michelle Rogers</v>
      </c>
      <c r="L18" s="19" t="str">
        <f t="shared" si="1"/>
        <v>MR</v>
      </c>
    </row>
    <row r="19" spans="4:12" x14ac:dyDescent="0.25">
      <c r="E19" s="19" t="str">
        <f>'Data Intelligence Dashboard'!D17</f>
        <v>George Adams</v>
      </c>
      <c r="K19" s="19" t="str">
        <f t="shared" si="0"/>
        <v>George Adams</v>
      </c>
      <c r="L19" s="19" t="str">
        <f t="shared" si="1"/>
        <v>GA</v>
      </c>
    </row>
    <row r="20" spans="4:12" x14ac:dyDescent="0.25">
      <c r="D20" s="57"/>
      <c r="E20" s="19" t="str">
        <f>'Data Intelligence Dashboard'!D18</f>
        <v>Mark Carter</v>
      </c>
      <c r="K20" s="19" t="str">
        <f t="shared" si="0"/>
        <v>Mark Carter</v>
      </c>
      <c r="L20" s="19" t="str">
        <f t="shared" si="1"/>
        <v>MC</v>
      </c>
    </row>
    <row r="21" spans="4:12" x14ac:dyDescent="0.25">
      <c r="E21" s="19" t="str">
        <f>'Data Intelligence Dashboard'!D19</f>
        <v>Maria Garcia</v>
      </c>
      <c r="K21" s="19" t="str">
        <f t="shared" si="0"/>
        <v>Maria Garcia</v>
      </c>
      <c r="L21" s="19" t="str">
        <f t="shared" si="1"/>
        <v>MG</v>
      </c>
    </row>
    <row r="22" spans="4:12" x14ac:dyDescent="0.25">
      <c r="E22" s="19" t="str">
        <f>'Data Intelligence Dashboard'!D20</f>
        <v>Mark Carter</v>
      </c>
      <c r="K22" s="19" t="str">
        <f t="shared" si="0"/>
        <v>Mark Carter</v>
      </c>
      <c r="L22" s="19" t="str">
        <f t="shared" si="1"/>
        <v>MC</v>
      </c>
    </row>
    <row r="23" spans="4:12" x14ac:dyDescent="0.25">
      <c r="E23" s="19" t="str">
        <f>'Data Intelligence Dashboard'!D21</f>
        <v>Virginia Sanders</v>
      </c>
      <c r="K23" s="19" t="str">
        <f t="shared" si="0"/>
        <v>Virginia Sanders</v>
      </c>
      <c r="L23" s="19" t="str">
        <f t="shared" si="1"/>
        <v>VS</v>
      </c>
    </row>
    <row r="24" spans="4:12" x14ac:dyDescent="0.25">
      <c r="E24" s="19" t="str">
        <f>'Data Intelligence Dashboard'!D22</f>
        <v>Barbara Young</v>
      </c>
      <c r="K24" s="19" t="str">
        <f t="shared" si="0"/>
        <v>Barbara Young</v>
      </c>
      <c r="L24" s="19" t="str">
        <f t="shared" si="1"/>
        <v>BY</v>
      </c>
    </row>
    <row r="25" spans="4:12" x14ac:dyDescent="0.25">
      <c r="E25" s="19" t="str">
        <f>'Data Intelligence Dashboard'!D23</f>
        <v>Patricia Moore</v>
      </c>
      <c r="K25" s="19" t="str">
        <f t="shared" si="0"/>
        <v>Patricia Moore</v>
      </c>
      <c r="L25" s="19" t="str">
        <f t="shared" si="1"/>
        <v>PM</v>
      </c>
    </row>
    <row r="26" spans="4:12" x14ac:dyDescent="0.25">
      <c r="E26" s="19" t="str">
        <f>'Data Intelligence Dashboard'!D24</f>
        <v>Cynthia Price</v>
      </c>
      <c r="K26" s="19" t="str">
        <f t="shared" si="0"/>
        <v>Cynthia Price</v>
      </c>
      <c r="L26" s="19" t="str">
        <f t="shared" si="1"/>
        <v>CP</v>
      </c>
    </row>
    <row r="27" spans="4:12" x14ac:dyDescent="0.25">
      <c r="E27" s="19" t="str">
        <f>'Data Intelligence Dashboard'!D25</f>
        <v>Mark Carter</v>
      </c>
      <c r="K27" s="19" t="str">
        <f t="shared" si="0"/>
        <v>Mark Carter</v>
      </c>
      <c r="L27" s="19" t="str">
        <f t="shared" si="1"/>
        <v>MC</v>
      </c>
    </row>
    <row r="28" spans="4:12" x14ac:dyDescent="0.25">
      <c r="E28" s="19" t="str">
        <f>'Data Intelligence Dashboard'!D26</f>
        <v>Nancy Collins</v>
      </c>
      <c r="K28" s="19" t="str">
        <f t="shared" si="0"/>
        <v>Nancy Collins</v>
      </c>
      <c r="L28" s="19" t="str">
        <f t="shared" si="1"/>
        <v>NC</v>
      </c>
    </row>
    <row r="29" spans="4:12" x14ac:dyDescent="0.25">
      <c r="E29" s="19" t="str">
        <f>'Data Intelligence Dashboard'!D27</f>
        <v>Susan Green</v>
      </c>
      <c r="K29" s="19" t="str">
        <f t="shared" si="0"/>
        <v>Susan Green</v>
      </c>
      <c r="L29" s="19" t="str">
        <f t="shared" si="1"/>
        <v>SG</v>
      </c>
    </row>
    <row r="30" spans="4:12" x14ac:dyDescent="0.25">
      <c r="E30" s="19" t="str">
        <f>'Data Intelligence Dashboard'!D28</f>
        <v>Linda Martin</v>
      </c>
      <c r="K30" s="19" t="str">
        <f t="shared" si="0"/>
        <v>Linda Martin</v>
      </c>
      <c r="L30" s="19" t="str">
        <f t="shared" si="1"/>
        <v>LM</v>
      </c>
    </row>
    <row r="31" spans="4:12" x14ac:dyDescent="0.25">
      <c r="E31" s="19" t="str">
        <f>'Data Intelligence Dashboard'!D29</f>
        <v>Patricia Moore</v>
      </c>
      <c r="K31" s="19" t="str">
        <f t="shared" si="0"/>
        <v>Patricia Moore</v>
      </c>
      <c r="L31" s="19" t="str">
        <f t="shared" si="1"/>
        <v>PM</v>
      </c>
    </row>
    <row r="32" spans="4:12" x14ac:dyDescent="0.25">
      <c r="E32" s="19" t="str">
        <f>'Data Intelligence Dashboard'!D30</f>
        <v>Helen Roberts</v>
      </c>
      <c r="K32" s="19" t="str">
        <f t="shared" si="0"/>
        <v>Helen Roberts</v>
      </c>
      <c r="L32" s="19" t="str">
        <f t="shared" si="1"/>
        <v>HR</v>
      </c>
    </row>
    <row r="33" spans="5:12" x14ac:dyDescent="0.25">
      <c r="E33" s="19" t="str">
        <f>'Data Intelligence Dashboard'!D31</f>
        <v>Edward Mitchell</v>
      </c>
      <c r="K33" s="19" t="str">
        <f t="shared" si="0"/>
        <v>Edward Mitchell</v>
      </c>
      <c r="L33" s="19" t="str">
        <f t="shared" si="1"/>
        <v>EM</v>
      </c>
    </row>
    <row r="34" spans="5:12" x14ac:dyDescent="0.25">
      <c r="E34" s="19" t="str">
        <f>'Data Intelligence Dashboard'!D32</f>
        <v>Charles Allen</v>
      </c>
      <c r="K34" s="19" t="str">
        <f t="shared" si="0"/>
        <v>Charles Allen</v>
      </c>
      <c r="L34" s="19" t="str">
        <f t="shared" si="1"/>
        <v>CA</v>
      </c>
    </row>
    <row r="35" spans="5:12" x14ac:dyDescent="0.25">
      <c r="E35" s="19" t="str">
        <f>'Data Intelligence Dashboard'!D33</f>
        <v>Lisa Anderson</v>
      </c>
      <c r="K35" s="19" t="str">
        <f t="shared" si="0"/>
        <v>Lisa Anderson</v>
      </c>
      <c r="L35" s="19" t="str">
        <f t="shared" si="1"/>
        <v>LA</v>
      </c>
    </row>
    <row r="36" spans="5:12" x14ac:dyDescent="0.25">
      <c r="E36" s="19" t="str">
        <f>'Data Intelligence Dashboard'!D34</f>
        <v>Emma Wilson</v>
      </c>
      <c r="K36" s="19" t="str">
        <f t="shared" si="0"/>
        <v>Emma Wilson</v>
      </c>
      <c r="L36" s="19" t="str">
        <f t="shared" si="1"/>
        <v>EW</v>
      </c>
    </row>
    <row r="37" spans="5:12" x14ac:dyDescent="0.25">
      <c r="E37" s="19" t="str">
        <f>'Data Intelligence Dashboard'!D35</f>
        <v>Kevin Scott</v>
      </c>
      <c r="K37" s="19" t="str">
        <f t="shared" si="0"/>
        <v>Kevin Scott</v>
      </c>
      <c r="L37" s="19" t="str">
        <f t="shared" si="1"/>
        <v>KS</v>
      </c>
    </row>
    <row r="38" spans="5:12" x14ac:dyDescent="0.25">
      <c r="E38" s="19" t="str">
        <f>'Data Intelligence Dashboard'!D36</f>
        <v>Patricia Moore</v>
      </c>
      <c r="K38" s="19" t="str">
        <f t="shared" si="0"/>
        <v>Patricia Moore</v>
      </c>
      <c r="L38" s="19" t="str">
        <f t="shared" si="1"/>
        <v>PM</v>
      </c>
    </row>
    <row r="39" spans="5:12" x14ac:dyDescent="0.25">
      <c r="E39" s="19" t="str">
        <f>'Data Intelligence Dashboard'!D37</f>
        <v>Lisa Anderson</v>
      </c>
      <c r="K39" s="19" t="str">
        <f t="shared" si="0"/>
        <v>Lisa Anderson</v>
      </c>
      <c r="L39" s="19" t="str">
        <f t="shared" si="1"/>
        <v>LA</v>
      </c>
    </row>
    <row r="40" spans="5:12" x14ac:dyDescent="0.25">
      <c r="E40" s="19" t="str">
        <f>'Data Intelligence Dashboard'!D38</f>
        <v>Steven Turner</v>
      </c>
      <c r="K40" s="19" t="str">
        <f t="shared" si="0"/>
        <v>Steven Turner</v>
      </c>
      <c r="L40" s="19" t="str">
        <f t="shared" si="1"/>
        <v>ST</v>
      </c>
    </row>
    <row r="41" spans="5:12" x14ac:dyDescent="0.25">
      <c r="E41" s="19" t="str">
        <f>'Data Intelligence Dashboard'!D39</f>
        <v>Jennifer Taylor</v>
      </c>
      <c r="K41" s="19" t="str">
        <f t="shared" si="0"/>
        <v>Jennifer Taylor</v>
      </c>
      <c r="L41" s="19" t="str">
        <f t="shared" si="1"/>
        <v>JT</v>
      </c>
    </row>
    <row r="42" spans="5:12" x14ac:dyDescent="0.25">
      <c r="E42" s="19" t="str">
        <f>'Data Intelligence Dashboard'!D40</f>
        <v>Harry Morgan</v>
      </c>
      <c r="K42" s="19" t="str">
        <f t="shared" si="0"/>
        <v>Harry Morgan</v>
      </c>
      <c r="L42" s="19" t="str">
        <f t="shared" si="1"/>
        <v>HM</v>
      </c>
    </row>
    <row r="43" spans="5:12" x14ac:dyDescent="0.25">
      <c r="E43" s="19" t="str">
        <f>'Data Intelligence Dashboard'!D41</f>
        <v>Daniel King</v>
      </c>
      <c r="K43" s="19" t="str">
        <f t="shared" si="0"/>
        <v>Daniel King</v>
      </c>
      <c r="L43" s="19" t="str">
        <f t="shared" si="1"/>
        <v>DK</v>
      </c>
    </row>
    <row r="44" spans="5:12" x14ac:dyDescent="0.25">
      <c r="E44" s="19" t="str">
        <f>'Data Intelligence Dashboard'!D42</f>
        <v>Sharon Butler</v>
      </c>
      <c r="K44" s="19" t="str">
        <f t="shared" si="0"/>
        <v>Sharon Butler</v>
      </c>
      <c r="L44" s="19" t="str">
        <f t="shared" si="1"/>
        <v>SB</v>
      </c>
    </row>
    <row r="45" spans="5:12" x14ac:dyDescent="0.25">
      <c r="E45" s="19" t="str">
        <f>'Data Intelligence Dashboard'!D43</f>
        <v>Charles Allen</v>
      </c>
      <c r="K45" s="19" t="str">
        <f t="shared" si="0"/>
        <v>Charles Allen</v>
      </c>
      <c r="L45" s="19" t="str">
        <f t="shared" si="1"/>
        <v>CA</v>
      </c>
    </row>
    <row r="46" spans="5:12" x14ac:dyDescent="0.25">
      <c r="E46" s="19" t="str">
        <f>'Data Intelligence Dashboard'!D44</f>
        <v>Sarah Davis</v>
      </c>
      <c r="K46" s="19" t="str">
        <f t="shared" si="0"/>
        <v>Sarah Davis</v>
      </c>
      <c r="L46" s="19" t="str">
        <f t="shared" si="1"/>
        <v>SD</v>
      </c>
    </row>
    <row r="47" spans="5:12" x14ac:dyDescent="0.25">
      <c r="E47" s="19" t="str">
        <f>'Data Intelligence Dashboard'!D45</f>
        <v>Joseph Jackson</v>
      </c>
      <c r="K47" s="19" t="str">
        <f t="shared" si="0"/>
        <v>Joseph Jackson</v>
      </c>
      <c r="L47" s="19" t="str">
        <f t="shared" si="1"/>
        <v>JJ</v>
      </c>
    </row>
    <row r="48" spans="5:12" x14ac:dyDescent="0.25">
      <c r="E48" s="19" t="str">
        <f>'Data Intelligence Dashboard'!D46</f>
        <v>Betty Campbell</v>
      </c>
      <c r="K48" s="19" t="str">
        <f t="shared" si="0"/>
        <v>Betty Campbell</v>
      </c>
      <c r="L48" s="19" t="str">
        <f t="shared" si="1"/>
        <v>BC</v>
      </c>
    </row>
    <row r="49" spans="5:12" x14ac:dyDescent="0.25">
      <c r="E49" s="19" t="str">
        <f>'Data Intelligence Dashboard'!D47</f>
        <v>Michael Brown</v>
      </c>
      <c r="K49" s="19" t="str">
        <f t="shared" si="0"/>
        <v>Michael Brown</v>
      </c>
      <c r="L49" s="19" t="str">
        <f t="shared" si="1"/>
        <v>MB</v>
      </c>
    </row>
    <row r="50" spans="5:12" x14ac:dyDescent="0.25">
      <c r="E50" s="19" t="str">
        <f>'Data Intelligence Dashboard'!D48</f>
        <v>Julie Foster</v>
      </c>
      <c r="K50" s="19" t="str">
        <f t="shared" si="0"/>
        <v>Julie Foster</v>
      </c>
      <c r="L50" s="19" t="str">
        <f t="shared" si="1"/>
        <v>JF</v>
      </c>
    </row>
    <row r="51" spans="5:12" x14ac:dyDescent="0.25">
      <c r="E51" s="19" t="str">
        <f>'Data Intelligence Dashboard'!D49</f>
        <v>Lisa Anderson</v>
      </c>
      <c r="K51" s="19" t="str">
        <f t="shared" si="0"/>
        <v>Lisa Anderson</v>
      </c>
      <c r="L51" s="19" t="str">
        <f t="shared" si="1"/>
        <v>LA</v>
      </c>
    </row>
    <row r="52" spans="5:12" x14ac:dyDescent="0.25">
      <c r="E52" s="19" t="str">
        <f>'Data Intelligence Dashboard'!D50</f>
        <v>Patricia Moore</v>
      </c>
      <c r="K52" s="19" t="str">
        <f t="shared" si="0"/>
        <v>Patricia Moore</v>
      </c>
      <c r="L52" s="19" t="str">
        <f t="shared" si="1"/>
        <v>PM</v>
      </c>
    </row>
    <row r="53" spans="5:12" x14ac:dyDescent="0.25">
      <c r="E53" s="19" t="str">
        <f>'Data Intelligence Dashboard'!D51</f>
        <v>Paul Baker</v>
      </c>
      <c r="K53" s="19" t="str">
        <f t="shared" si="0"/>
        <v>Paul Baker</v>
      </c>
      <c r="L53" s="19" t="str">
        <f t="shared" si="1"/>
        <v>PB</v>
      </c>
    </row>
    <row r="54" spans="5:12" x14ac:dyDescent="0.25">
      <c r="E54" s="19" t="str">
        <f>'Data Intelligence Dashboard'!D52</f>
        <v>Edward Mitchell</v>
      </c>
      <c r="K54" s="19" t="str">
        <f t="shared" si="0"/>
        <v>Edward Mitchell</v>
      </c>
      <c r="L54" s="19" t="str">
        <f t="shared" si="1"/>
        <v>EM</v>
      </c>
    </row>
    <row r="55" spans="5:12" x14ac:dyDescent="0.25">
      <c r="E55" s="19" t="str">
        <f>'Data Intelligence Dashboard'!D53</f>
        <v>Betty Campbell</v>
      </c>
      <c r="K55" s="19" t="str">
        <f t="shared" si="0"/>
        <v>Betty Campbell</v>
      </c>
      <c r="L55" s="19" t="str">
        <f t="shared" si="1"/>
        <v>BC</v>
      </c>
    </row>
    <row r="56" spans="5:12" x14ac:dyDescent="0.25">
      <c r="E56" s="19" t="str">
        <f>'Data Intelligence Dashboard'!D54</f>
        <v>Jennifer Taylor</v>
      </c>
      <c r="K56" s="19" t="str">
        <f t="shared" si="0"/>
        <v>Jennifer Taylor</v>
      </c>
      <c r="L56" s="19" t="str">
        <f t="shared" si="1"/>
        <v>JT</v>
      </c>
    </row>
    <row r="57" spans="5:12" x14ac:dyDescent="0.25">
      <c r="E57" s="19" t="str">
        <f>'Data Intelligence Dashboard'!D55</f>
        <v>Raymond Ross</v>
      </c>
      <c r="K57" s="19" t="str">
        <f t="shared" si="0"/>
        <v>Raymond Ross</v>
      </c>
      <c r="L57" s="19" t="str">
        <f t="shared" si="1"/>
        <v>RR</v>
      </c>
    </row>
    <row r="58" spans="5:12" x14ac:dyDescent="0.25">
      <c r="E58" s="19" t="str">
        <f>'Data Intelligence Dashboard'!D56</f>
        <v>Kevin Scott</v>
      </c>
      <c r="K58" s="19" t="str">
        <f t="shared" si="0"/>
        <v>Kevin Scott</v>
      </c>
      <c r="L58" s="19" t="str">
        <f t="shared" si="1"/>
        <v>KS</v>
      </c>
    </row>
    <row r="59" spans="5:12" x14ac:dyDescent="0.25">
      <c r="E59" s="19" t="str">
        <f>'Data Intelligence Dashboard'!D57</f>
        <v>Robert Thomas</v>
      </c>
      <c r="K59" s="19" t="str">
        <f t="shared" si="0"/>
        <v>Robert Thomas</v>
      </c>
      <c r="L59" s="19" t="str">
        <f t="shared" si="1"/>
        <v>RT</v>
      </c>
    </row>
    <row r="60" spans="5:12" x14ac:dyDescent="0.25">
      <c r="E60" s="19" t="str">
        <f>'Data Intelligence Dashboard'!D58</f>
        <v>Kathleen Bennett</v>
      </c>
      <c r="K60" s="19" t="str">
        <f t="shared" si="0"/>
        <v>Kathleen Bennett</v>
      </c>
      <c r="L60" s="19" t="str">
        <f t="shared" si="1"/>
        <v>KB</v>
      </c>
    </row>
    <row r="61" spans="5:12" x14ac:dyDescent="0.25">
      <c r="E61" s="19" t="str">
        <f>'Data Intelligence Dashboard'!D59</f>
        <v>Patricia Moore</v>
      </c>
      <c r="K61" s="19" t="str">
        <f t="shared" si="0"/>
        <v>Patricia Moore</v>
      </c>
      <c r="L61" s="19" t="str">
        <f t="shared" si="1"/>
        <v>PM</v>
      </c>
    </row>
    <row r="62" spans="5:12" x14ac:dyDescent="0.25">
      <c r="E62" s="19" t="str">
        <f>'Data Intelligence Dashboard'!D60</f>
        <v>Helen Roberts</v>
      </c>
      <c r="K62" s="19" t="str">
        <f t="shared" si="0"/>
        <v>Helen Roberts</v>
      </c>
      <c r="L62" s="19" t="str">
        <f t="shared" si="1"/>
        <v>HR</v>
      </c>
    </row>
    <row r="63" spans="5:12" x14ac:dyDescent="0.25">
      <c r="E63" s="19" t="str">
        <f>'Data Intelligence Dashboard'!D61</f>
        <v>Emma Wilson</v>
      </c>
      <c r="K63" s="19" t="str">
        <f t="shared" si="0"/>
        <v>Emma Wilson</v>
      </c>
      <c r="L63" s="19" t="str">
        <f t="shared" si="1"/>
        <v>EW</v>
      </c>
    </row>
    <row r="64" spans="5:12" x14ac:dyDescent="0.25">
      <c r="E64" s="19" t="str">
        <f>'Data Intelligence Dashboard'!D62</f>
        <v>Charles Allen</v>
      </c>
      <c r="K64" s="19" t="str">
        <f t="shared" si="0"/>
        <v>Charles Allen</v>
      </c>
      <c r="L64" s="19" t="str">
        <f t="shared" si="1"/>
        <v>CA</v>
      </c>
    </row>
    <row r="65" spans="5:12" x14ac:dyDescent="0.25">
      <c r="E65" s="19" t="str">
        <f>'Data Intelligence Dashboard'!D63</f>
        <v>Susan Green</v>
      </c>
      <c r="K65" s="19" t="str">
        <f t="shared" si="0"/>
        <v>Susan Green</v>
      </c>
      <c r="L65" s="19" t="str">
        <f t="shared" si="1"/>
        <v>SG</v>
      </c>
    </row>
    <row r="66" spans="5:12" x14ac:dyDescent="0.25">
      <c r="E66" s="19" t="str">
        <f>'Data Intelligence Dashboard'!D64</f>
        <v>David Martinez</v>
      </c>
      <c r="K66" s="19" t="str">
        <f t="shared" si="0"/>
        <v>David Martinez</v>
      </c>
      <c r="L66" s="19" t="str">
        <f t="shared" si="1"/>
        <v>DM</v>
      </c>
    </row>
    <row r="67" spans="5:12" x14ac:dyDescent="0.25">
      <c r="E67" s="19" t="str">
        <f>'Data Intelligence Dashboard'!D65</f>
        <v>Margaret Wright</v>
      </c>
      <c r="K67" s="19" t="str">
        <f t="shared" si="0"/>
        <v>Margaret Wright</v>
      </c>
      <c r="L67" s="19" t="str">
        <f t="shared" si="1"/>
        <v>MW</v>
      </c>
    </row>
    <row r="68" spans="5:12" x14ac:dyDescent="0.25">
      <c r="E68" s="19" t="str">
        <f>'Data Intelligence Dashboard'!D66</f>
        <v>Michael Brown</v>
      </c>
      <c r="K68" s="19" t="str">
        <f t="shared" si="0"/>
        <v>Michael Brown</v>
      </c>
      <c r="L68" s="19" t="str">
        <f t="shared" si="1"/>
        <v>MB</v>
      </c>
    </row>
    <row r="69" spans="5:12" x14ac:dyDescent="0.25">
      <c r="E69" s="19" t="str">
        <f>'Data Intelligence Dashboard'!D67</f>
        <v>Barbara Young</v>
      </c>
      <c r="K69" s="19" t="str">
        <f t="shared" ref="K69:K132" si="2">E69</f>
        <v>Barbara Young</v>
      </c>
      <c r="L69" s="19" t="str">
        <f t="shared" ref="L69:L132" si="3">LEFT(K69,1)&amp;LEFT(RIGHT(K69,LEN(K69)-FIND(" ",K69)),1)</f>
        <v>BY</v>
      </c>
    </row>
    <row r="70" spans="5:12" x14ac:dyDescent="0.25">
      <c r="E70" s="19" t="str">
        <f>'Data Intelligence Dashboard'!D68</f>
        <v>Raymond Ross</v>
      </c>
      <c r="K70" s="19" t="str">
        <f t="shared" si="2"/>
        <v>Raymond Ross</v>
      </c>
      <c r="L70" s="19" t="str">
        <f t="shared" si="3"/>
        <v>RR</v>
      </c>
    </row>
    <row r="71" spans="5:12" x14ac:dyDescent="0.25">
      <c r="E71" s="19" t="str">
        <f>'Data Intelligence Dashboard'!D69</f>
        <v>Joseph Jackson</v>
      </c>
      <c r="K71" s="19" t="str">
        <f t="shared" si="2"/>
        <v>Joseph Jackson</v>
      </c>
      <c r="L71" s="19" t="str">
        <f t="shared" si="3"/>
        <v>JJ</v>
      </c>
    </row>
    <row r="72" spans="5:12" x14ac:dyDescent="0.25">
      <c r="E72" s="19" t="str">
        <f>'Data Intelligence Dashboard'!D70</f>
        <v>Frank Torres</v>
      </c>
      <c r="K72" s="19" t="str">
        <f t="shared" si="2"/>
        <v>Frank Torres</v>
      </c>
      <c r="L72" s="19" t="str">
        <f t="shared" si="3"/>
        <v>FT</v>
      </c>
    </row>
    <row r="73" spans="5:12" x14ac:dyDescent="0.25">
      <c r="E73" s="19" t="str">
        <f>'Data Intelligence Dashboard'!D71</f>
        <v>Frank Torres</v>
      </c>
      <c r="K73" s="19" t="str">
        <f t="shared" si="2"/>
        <v>Frank Torres</v>
      </c>
      <c r="L73" s="19" t="str">
        <f t="shared" si="3"/>
        <v>FT</v>
      </c>
    </row>
    <row r="74" spans="5:12" x14ac:dyDescent="0.25">
      <c r="E74" s="19" t="str">
        <f>'Data Intelligence Dashboard'!D72</f>
        <v>Gerald Murphy</v>
      </c>
      <c r="K74" s="19" t="str">
        <f t="shared" si="2"/>
        <v>Gerald Murphy</v>
      </c>
      <c r="L74" s="19" t="str">
        <f t="shared" si="3"/>
        <v>GM</v>
      </c>
    </row>
    <row r="75" spans="5:12" x14ac:dyDescent="0.25">
      <c r="E75" s="19" t="str">
        <f>'Data Intelligence Dashboard'!D73</f>
        <v>Peter Richardson</v>
      </c>
      <c r="K75" s="19" t="str">
        <f t="shared" si="2"/>
        <v>Peter Richardson</v>
      </c>
      <c r="L75" s="19" t="str">
        <f t="shared" si="3"/>
        <v>PR</v>
      </c>
    </row>
    <row r="76" spans="5:12" x14ac:dyDescent="0.25">
      <c r="E76" s="19" t="str">
        <f>'Data Intelligence Dashboard'!D74</f>
        <v>Karen Hill</v>
      </c>
      <c r="K76" s="19" t="str">
        <f t="shared" si="2"/>
        <v>Karen Hill</v>
      </c>
      <c r="L76" s="19" t="str">
        <f t="shared" si="3"/>
        <v>KH</v>
      </c>
    </row>
    <row r="77" spans="5:12" x14ac:dyDescent="0.25">
      <c r="E77" s="19" t="str">
        <f>'Data Intelligence Dashboard'!D75</f>
        <v>Sharon Butler</v>
      </c>
      <c r="K77" s="19" t="str">
        <f t="shared" si="2"/>
        <v>Sharon Butler</v>
      </c>
      <c r="L77" s="19" t="str">
        <f t="shared" si="3"/>
        <v>SB</v>
      </c>
    </row>
    <row r="78" spans="5:12" x14ac:dyDescent="0.25">
      <c r="E78" s="19" t="str">
        <f>'Data Intelligence Dashboard'!D76</f>
        <v>Joseph Jackson</v>
      </c>
      <c r="K78" s="19" t="str">
        <f t="shared" si="2"/>
        <v>Joseph Jackson</v>
      </c>
      <c r="L78" s="19" t="str">
        <f t="shared" si="3"/>
        <v>JJ</v>
      </c>
    </row>
    <row r="79" spans="5:12" x14ac:dyDescent="0.25">
      <c r="E79" s="19" t="str">
        <f>'Data Intelligence Dashboard'!D77</f>
        <v>David Martinez</v>
      </c>
      <c r="K79" s="19" t="str">
        <f t="shared" si="2"/>
        <v>David Martinez</v>
      </c>
      <c r="L79" s="19" t="str">
        <f t="shared" si="3"/>
        <v>DM</v>
      </c>
    </row>
    <row r="80" spans="5:12" x14ac:dyDescent="0.25">
      <c r="E80" s="19" t="str">
        <f>'Data Intelligence Dashboard'!D78</f>
        <v>Gerald Murphy</v>
      </c>
      <c r="K80" s="19" t="str">
        <f t="shared" si="2"/>
        <v>Gerald Murphy</v>
      </c>
      <c r="L80" s="19" t="str">
        <f t="shared" si="3"/>
        <v>GM</v>
      </c>
    </row>
    <row r="81" spans="5:12" x14ac:dyDescent="0.25">
      <c r="E81" s="19" t="str">
        <f>'Data Intelligence Dashboard'!D79</f>
        <v>Barbara Young</v>
      </c>
      <c r="K81" s="19" t="str">
        <f t="shared" si="2"/>
        <v>Barbara Young</v>
      </c>
      <c r="L81" s="19" t="str">
        <f t="shared" si="3"/>
        <v>BY</v>
      </c>
    </row>
    <row r="82" spans="5:12" x14ac:dyDescent="0.25">
      <c r="E82" s="19" t="str">
        <f>'Data Intelligence Dashboard'!D80</f>
        <v>Daniel King</v>
      </c>
      <c r="K82" s="19" t="str">
        <f t="shared" si="2"/>
        <v>Daniel King</v>
      </c>
      <c r="L82" s="19" t="str">
        <f t="shared" si="3"/>
        <v>DK</v>
      </c>
    </row>
    <row r="83" spans="5:12" x14ac:dyDescent="0.25">
      <c r="E83" s="19" t="str">
        <f>'Data Intelligence Dashboard'!D81</f>
        <v>Mark Carter</v>
      </c>
      <c r="K83" s="19" t="str">
        <f t="shared" si="2"/>
        <v>Mark Carter</v>
      </c>
      <c r="L83" s="19" t="str">
        <f t="shared" si="3"/>
        <v>MC</v>
      </c>
    </row>
    <row r="84" spans="5:12" x14ac:dyDescent="0.25">
      <c r="E84" s="19" t="str">
        <f>'Data Intelligence Dashboard'!D82</f>
        <v>Daniel King</v>
      </c>
      <c r="K84" s="19" t="str">
        <f t="shared" si="2"/>
        <v>Daniel King</v>
      </c>
      <c r="L84" s="19" t="str">
        <f t="shared" si="3"/>
        <v>DK</v>
      </c>
    </row>
    <row r="85" spans="5:12" x14ac:dyDescent="0.25">
      <c r="E85" s="19" t="str">
        <f>'Data Intelligence Dashboard'!D83</f>
        <v>Mark Carter</v>
      </c>
      <c r="K85" s="19" t="str">
        <f t="shared" si="2"/>
        <v>Mark Carter</v>
      </c>
      <c r="L85" s="19" t="str">
        <f t="shared" si="3"/>
        <v>MC</v>
      </c>
    </row>
    <row r="86" spans="5:12" x14ac:dyDescent="0.25">
      <c r="E86" s="19" t="str">
        <f>'Data Intelligence Dashboard'!D84</f>
        <v>Helen Roberts</v>
      </c>
      <c r="K86" s="19" t="str">
        <f t="shared" si="2"/>
        <v>Helen Roberts</v>
      </c>
      <c r="L86" s="19" t="str">
        <f t="shared" si="3"/>
        <v>HR</v>
      </c>
    </row>
    <row r="87" spans="5:12" x14ac:dyDescent="0.25">
      <c r="E87" s="19" t="str">
        <f>'Data Intelligence Dashboard'!D85</f>
        <v>Elizabeth Hall</v>
      </c>
      <c r="K87" s="19" t="str">
        <f t="shared" si="2"/>
        <v>Elizabeth Hall</v>
      </c>
      <c r="L87" s="19" t="str">
        <f t="shared" si="3"/>
        <v>EH</v>
      </c>
    </row>
    <row r="88" spans="5:12" x14ac:dyDescent="0.25">
      <c r="E88" s="19" t="str">
        <f>'Data Intelligence Dashboard'!D86</f>
        <v>Cynthia Price</v>
      </c>
      <c r="K88" s="19" t="str">
        <f t="shared" si="2"/>
        <v>Cynthia Price</v>
      </c>
      <c r="L88" s="19" t="str">
        <f t="shared" si="3"/>
        <v>CP</v>
      </c>
    </row>
    <row r="89" spans="5:12" x14ac:dyDescent="0.25">
      <c r="E89" s="19" t="str">
        <f>'Data Intelligence Dashboard'!D87</f>
        <v>Maria Garcia</v>
      </c>
      <c r="K89" s="19" t="str">
        <f t="shared" si="2"/>
        <v>Maria Garcia</v>
      </c>
      <c r="L89" s="19" t="str">
        <f t="shared" si="3"/>
        <v>MG</v>
      </c>
    </row>
    <row r="90" spans="5:12" x14ac:dyDescent="0.25">
      <c r="E90" s="19" t="str">
        <f>'Data Intelligence Dashboard'!D88</f>
        <v>Mark Carter</v>
      </c>
      <c r="K90" s="19" t="str">
        <f t="shared" si="2"/>
        <v>Mark Carter</v>
      </c>
      <c r="L90" s="19" t="str">
        <f t="shared" si="3"/>
        <v>MC</v>
      </c>
    </row>
    <row r="91" spans="5:12" x14ac:dyDescent="0.25">
      <c r="E91" s="19" t="str">
        <f>'Data Intelligence Dashboard'!D89</f>
        <v>David Martinez</v>
      </c>
      <c r="K91" s="19" t="str">
        <f t="shared" si="2"/>
        <v>David Martinez</v>
      </c>
      <c r="L91" s="19" t="str">
        <f t="shared" si="3"/>
        <v>DM</v>
      </c>
    </row>
    <row r="92" spans="5:12" x14ac:dyDescent="0.25">
      <c r="E92" s="19" t="str">
        <f>'Data Intelligence Dashboard'!D90</f>
        <v>Margaret Wright</v>
      </c>
      <c r="K92" s="19" t="str">
        <f t="shared" si="2"/>
        <v>Margaret Wright</v>
      </c>
      <c r="L92" s="19" t="str">
        <f t="shared" si="3"/>
        <v>MW</v>
      </c>
    </row>
    <row r="93" spans="5:12" x14ac:dyDescent="0.25">
      <c r="E93" s="19" t="str">
        <f>'Data Intelligence Dashboard'!D91</f>
        <v>Karen Hill</v>
      </c>
      <c r="K93" s="19" t="str">
        <f t="shared" si="2"/>
        <v>Karen Hill</v>
      </c>
      <c r="L93" s="19" t="str">
        <f t="shared" si="3"/>
        <v>KH</v>
      </c>
    </row>
    <row r="94" spans="5:12" x14ac:dyDescent="0.25">
      <c r="E94" s="19" t="str">
        <f>'Data Intelligence Dashboard'!D92</f>
        <v>Kathleen Bennett</v>
      </c>
      <c r="K94" s="19" t="str">
        <f t="shared" si="2"/>
        <v>Kathleen Bennett</v>
      </c>
      <c r="L94" s="19" t="str">
        <f t="shared" si="3"/>
        <v>KB</v>
      </c>
    </row>
    <row r="95" spans="5:12" x14ac:dyDescent="0.25">
      <c r="E95" s="19" t="str">
        <f>'Data Intelligence Dashboard'!D93</f>
        <v>Betty Campbell</v>
      </c>
      <c r="K95" s="19" t="str">
        <f t="shared" si="2"/>
        <v>Betty Campbell</v>
      </c>
      <c r="L95" s="19" t="str">
        <f t="shared" si="3"/>
        <v>BC</v>
      </c>
    </row>
    <row r="96" spans="5:12" x14ac:dyDescent="0.25">
      <c r="E96" s="19" t="str">
        <f>'Data Intelligence Dashboard'!D94</f>
        <v>Mark Carter</v>
      </c>
      <c r="K96" s="19" t="str">
        <f t="shared" si="2"/>
        <v>Mark Carter</v>
      </c>
      <c r="L96" s="19" t="str">
        <f t="shared" si="3"/>
        <v>MC</v>
      </c>
    </row>
    <row r="97" spans="5:12" x14ac:dyDescent="0.25">
      <c r="E97" s="19" t="str">
        <f>'Data Intelligence Dashboard'!D95</f>
        <v>Gerald Murphy</v>
      </c>
      <c r="K97" s="19" t="str">
        <f t="shared" si="2"/>
        <v>Gerald Murphy</v>
      </c>
      <c r="L97" s="19" t="str">
        <f t="shared" si="3"/>
        <v>GM</v>
      </c>
    </row>
    <row r="98" spans="5:12" x14ac:dyDescent="0.25">
      <c r="E98" s="19" t="str">
        <f>'Data Intelligence Dashboard'!D96</f>
        <v>Nancy Collins</v>
      </c>
      <c r="K98" s="19" t="str">
        <f t="shared" si="2"/>
        <v>Nancy Collins</v>
      </c>
      <c r="L98" s="19" t="str">
        <f t="shared" si="3"/>
        <v>NC</v>
      </c>
    </row>
    <row r="99" spans="5:12" x14ac:dyDescent="0.25">
      <c r="E99" s="19" t="str">
        <f>'Data Intelligence Dashboard'!D97</f>
        <v>Cynthia Price</v>
      </c>
      <c r="K99" s="19" t="str">
        <f t="shared" si="2"/>
        <v>Cynthia Price</v>
      </c>
      <c r="L99" s="19" t="str">
        <f t="shared" si="3"/>
        <v>CP</v>
      </c>
    </row>
    <row r="100" spans="5:12" x14ac:dyDescent="0.25">
      <c r="E100" s="19" t="str">
        <f>'Data Intelligence Dashboard'!D98</f>
        <v>Lawrence Reed</v>
      </c>
      <c r="K100" s="19" t="str">
        <f t="shared" si="2"/>
        <v>Lawrence Reed</v>
      </c>
      <c r="L100" s="19" t="str">
        <f t="shared" si="3"/>
        <v>LR</v>
      </c>
    </row>
    <row r="101" spans="5:12" x14ac:dyDescent="0.25">
      <c r="E101" s="19" t="str">
        <f>'Data Intelligence Dashboard'!D99</f>
        <v>Harry Morgan</v>
      </c>
      <c r="K101" s="19" t="str">
        <f t="shared" si="2"/>
        <v>Harry Morgan</v>
      </c>
      <c r="L101" s="19" t="str">
        <f t="shared" si="3"/>
        <v>HM</v>
      </c>
    </row>
    <row r="102" spans="5:12" x14ac:dyDescent="0.25">
      <c r="E102" s="19" t="str">
        <f>'Data Intelligence Dashboard'!D100</f>
        <v>Gerald Murphy</v>
      </c>
      <c r="K102" s="19" t="str">
        <f t="shared" si="2"/>
        <v>Gerald Murphy</v>
      </c>
      <c r="L102" s="19" t="str">
        <f t="shared" si="3"/>
        <v>GM</v>
      </c>
    </row>
    <row r="103" spans="5:12" x14ac:dyDescent="0.25">
      <c r="E103" s="19" t="str">
        <f>'Data Intelligence Dashboard'!D101</f>
        <v>Carol Evans</v>
      </c>
      <c r="K103" s="19" t="str">
        <f t="shared" si="2"/>
        <v>Carol Evans</v>
      </c>
      <c r="L103" s="19" t="str">
        <f t="shared" si="3"/>
        <v>CE</v>
      </c>
    </row>
    <row r="104" spans="5:12" x14ac:dyDescent="0.25">
      <c r="E104" s="19" t="str">
        <f>'Data Intelligence Dashboard'!D102</f>
        <v>Sandra Phillips</v>
      </c>
      <c r="K104" s="19" t="str">
        <f t="shared" si="2"/>
        <v>Sandra Phillips</v>
      </c>
      <c r="L104" s="19" t="str">
        <f t="shared" si="3"/>
        <v>SP</v>
      </c>
    </row>
    <row r="105" spans="5:12" x14ac:dyDescent="0.25">
      <c r="E105" s="19" t="str">
        <f>'Data Intelligence Dashboard'!D103</f>
        <v>Carol Evans</v>
      </c>
      <c r="K105" s="19" t="str">
        <f t="shared" si="2"/>
        <v>Carol Evans</v>
      </c>
      <c r="L105" s="19" t="str">
        <f t="shared" si="3"/>
        <v>CE</v>
      </c>
    </row>
    <row r="106" spans="5:12" x14ac:dyDescent="0.25">
      <c r="E106" s="19" t="str">
        <f>'Data Intelligence Dashboard'!D104</f>
        <v>Paul Baker</v>
      </c>
      <c r="K106" s="19" t="str">
        <f t="shared" si="2"/>
        <v>Paul Baker</v>
      </c>
      <c r="L106" s="19" t="str">
        <f t="shared" si="3"/>
        <v>PB</v>
      </c>
    </row>
    <row r="107" spans="5:12" x14ac:dyDescent="0.25">
      <c r="E107" s="19" t="str">
        <f>'Data Intelligence Dashboard'!D105</f>
        <v>Lawrence Reed</v>
      </c>
      <c r="K107" s="19" t="str">
        <f t="shared" si="2"/>
        <v>Lawrence Reed</v>
      </c>
      <c r="L107" s="19" t="str">
        <f t="shared" si="3"/>
        <v>LR</v>
      </c>
    </row>
    <row r="108" spans="5:12" x14ac:dyDescent="0.25">
      <c r="E108" s="19" t="str">
        <f>'Data Intelligence Dashboard'!D106</f>
        <v>Steven Turner</v>
      </c>
      <c r="K108" s="19" t="str">
        <f t="shared" si="2"/>
        <v>Steven Turner</v>
      </c>
      <c r="L108" s="19" t="str">
        <f t="shared" si="3"/>
        <v>ST</v>
      </c>
    </row>
    <row r="109" spans="5:12" x14ac:dyDescent="0.25">
      <c r="E109" s="19" t="str">
        <f>'Data Intelligence Dashboard'!D107</f>
        <v>Emma Wilson</v>
      </c>
      <c r="K109" s="19" t="str">
        <f t="shared" si="2"/>
        <v>Emma Wilson</v>
      </c>
      <c r="L109" s="19" t="str">
        <f t="shared" si="3"/>
        <v>EW</v>
      </c>
    </row>
    <row r="110" spans="5:12" x14ac:dyDescent="0.25">
      <c r="E110" s="19" t="str">
        <f>'Data Intelligence Dashboard'!D108</f>
        <v>Jennifer Taylor</v>
      </c>
      <c r="K110" s="19" t="str">
        <f t="shared" si="2"/>
        <v>Jennifer Taylor</v>
      </c>
      <c r="L110" s="19" t="str">
        <f t="shared" si="3"/>
        <v>JT</v>
      </c>
    </row>
    <row r="111" spans="5:12" x14ac:dyDescent="0.25">
      <c r="E111" s="19" t="str">
        <f>'Data Intelligence Dashboard'!D109</f>
        <v>Charles Allen</v>
      </c>
      <c r="K111" s="19" t="str">
        <f t="shared" si="2"/>
        <v>Charles Allen</v>
      </c>
      <c r="L111" s="19" t="str">
        <f t="shared" si="3"/>
        <v>CA</v>
      </c>
    </row>
    <row r="112" spans="5:12" x14ac:dyDescent="0.25">
      <c r="E112" s="19" t="str">
        <f>'Data Intelligence Dashboard'!D110</f>
        <v>Dorothy Nelson</v>
      </c>
      <c r="K112" s="19" t="str">
        <f t="shared" si="2"/>
        <v>Dorothy Nelson</v>
      </c>
      <c r="L112" s="19" t="str">
        <f t="shared" si="3"/>
        <v>DN</v>
      </c>
    </row>
    <row r="113" spans="5:12" x14ac:dyDescent="0.25">
      <c r="E113" s="19" t="str">
        <f>'Data Intelligence Dashboard'!D111</f>
        <v>Kathleen Bennett</v>
      </c>
      <c r="K113" s="19" t="str">
        <f t="shared" si="2"/>
        <v>Kathleen Bennett</v>
      </c>
      <c r="L113" s="19" t="str">
        <f t="shared" si="3"/>
        <v>KB</v>
      </c>
    </row>
    <row r="114" spans="5:12" x14ac:dyDescent="0.25">
      <c r="E114" s="19" t="str">
        <f>'Data Intelligence Dashboard'!D112</f>
        <v>Ruth Brooks</v>
      </c>
      <c r="K114" s="19" t="str">
        <f t="shared" si="2"/>
        <v>Ruth Brooks</v>
      </c>
      <c r="L114" s="19" t="str">
        <f t="shared" si="3"/>
        <v>RB</v>
      </c>
    </row>
    <row r="115" spans="5:12" x14ac:dyDescent="0.25">
      <c r="E115" s="19" t="str">
        <f>'Data Intelligence Dashboard'!D113</f>
        <v>Karen Hill</v>
      </c>
      <c r="K115" s="19" t="str">
        <f t="shared" si="2"/>
        <v>Karen Hill</v>
      </c>
      <c r="L115" s="19" t="str">
        <f t="shared" si="3"/>
        <v>KH</v>
      </c>
    </row>
    <row r="116" spans="5:12" x14ac:dyDescent="0.25">
      <c r="E116" s="19" t="str">
        <f>'Data Intelligence Dashboard'!D114</f>
        <v>Sarah Davis</v>
      </c>
      <c r="K116" s="19" t="str">
        <f t="shared" si="2"/>
        <v>Sarah Davis</v>
      </c>
      <c r="L116" s="19" t="str">
        <f t="shared" si="3"/>
        <v>SD</v>
      </c>
    </row>
    <row r="117" spans="5:12" x14ac:dyDescent="0.25">
      <c r="E117" s="19" t="str">
        <f>'Data Intelligence Dashboard'!D115</f>
        <v>Daniel King</v>
      </c>
      <c r="K117" s="19" t="str">
        <f t="shared" si="2"/>
        <v>Daniel King</v>
      </c>
      <c r="L117" s="19" t="str">
        <f t="shared" si="3"/>
        <v>DK</v>
      </c>
    </row>
    <row r="118" spans="5:12" x14ac:dyDescent="0.25">
      <c r="E118" s="19" t="str">
        <f>'Data Intelligence Dashboard'!D116</f>
        <v>William White</v>
      </c>
      <c r="K118" s="19" t="str">
        <f t="shared" si="2"/>
        <v>William White</v>
      </c>
      <c r="L118" s="19" t="str">
        <f t="shared" si="3"/>
        <v>WW</v>
      </c>
    </row>
    <row r="119" spans="5:12" x14ac:dyDescent="0.25">
      <c r="E119" s="19" t="str">
        <f>'Data Intelligence Dashboard'!D117</f>
        <v>Peter Richardson</v>
      </c>
      <c r="K119" s="19" t="str">
        <f t="shared" si="2"/>
        <v>Peter Richardson</v>
      </c>
      <c r="L119" s="19" t="str">
        <f t="shared" si="3"/>
        <v>PR</v>
      </c>
    </row>
    <row r="120" spans="5:12" x14ac:dyDescent="0.25">
      <c r="E120" s="19" t="str">
        <f>'Data Intelligence Dashboard'!D118</f>
        <v>Sandra Phillips</v>
      </c>
      <c r="K120" s="19" t="str">
        <f t="shared" si="2"/>
        <v>Sandra Phillips</v>
      </c>
      <c r="L120" s="19" t="str">
        <f t="shared" si="3"/>
        <v>SP</v>
      </c>
    </row>
    <row r="121" spans="5:12" x14ac:dyDescent="0.25">
      <c r="E121" s="19" t="str">
        <f>'Data Intelligence Dashboard'!D119</f>
        <v>Linda Martin</v>
      </c>
      <c r="K121" s="19" t="str">
        <f t="shared" si="2"/>
        <v>Linda Martin</v>
      </c>
      <c r="L121" s="19" t="str">
        <f t="shared" si="3"/>
        <v>LM</v>
      </c>
    </row>
    <row r="122" spans="5:12" x14ac:dyDescent="0.25">
      <c r="E122" s="19" t="str">
        <f>'Data Intelligence Dashboard'!D120</f>
        <v>Patricia Moore</v>
      </c>
      <c r="K122" s="19" t="str">
        <f t="shared" si="2"/>
        <v>Patricia Moore</v>
      </c>
      <c r="L122" s="19" t="str">
        <f t="shared" si="3"/>
        <v>PM</v>
      </c>
    </row>
    <row r="123" spans="5:12" x14ac:dyDescent="0.25">
      <c r="E123" s="19" t="str">
        <f>'Data Intelligence Dashboard'!D121</f>
        <v>Richard Lee</v>
      </c>
      <c r="K123" s="19" t="str">
        <f t="shared" si="2"/>
        <v>Richard Lee</v>
      </c>
      <c r="L123" s="19" t="str">
        <f t="shared" si="3"/>
        <v>RL</v>
      </c>
    </row>
    <row r="124" spans="5:12" x14ac:dyDescent="0.25">
      <c r="E124" s="19" t="str">
        <f>'Data Intelligence Dashboard'!D122</f>
        <v>Michael Brown</v>
      </c>
      <c r="K124" s="19" t="str">
        <f t="shared" si="2"/>
        <v>Michael Brown</v>
      </c>
      <c r="L124" s="19" t="str">
        <f t="shared" si="3"/>
        <v>MB</v>
      </c>
    </row>
    <row r="125" spans="5:12" x14ac:dyDescent="0.25">
      <c r="E125" s="19" t="str">
        <f>'Data Intelligence Dashboard'!D123</f>
        <v>Maria Garcia</v>
      </c>
      <c r="K125" s="19" t="str">
        <f t="shared" si="2"/>
        <v>Maria Garcia</v>
      </c>
      <c r="L125" s="19" t="str">
        <f t="shared" si="3"/>
        <v>MG</v>
      </c>
    </row>
    <row r="126" spans="5:12" x14ac:dyDescent="0.25">
      <c r="E126" s="19" t="str">
        <f>'Data Intelligence Dashboard'!D124</f>
        <v>Sandra Phillips</v>
      </c>
      <c r="K126" s="19" t="str">
        <f t="shared" si="2"/>
        <v>Sandra Phillips</v>
      </c>
      <c r="L126" s="19" t="str">
        <f t="shared" si="3"/>
        <v>SP</v>
      </c>
    </row>
    <row r="127" spans="5:12" x14ac:dyDescent="0.25">
      <c r="E127" s="19" t="str">
        <f>'Data Intelligence Dashboard'!D125</f>
        <v>Elizabeth Hall</v>
      </c>
      <c r="K127" s="19" t="str">
        <f t="shared" si="2"/>
        <v>Elizabeth Hall</v>
      </c>
      <c r="L127" s="19" t="str">
        <f t="shared" si="3"/>
        <v>EH</v>
      </c>
    </row>
    <row r="128" spans="5:12" x14ac:dyDescent="0.25">
      <c r="E128" s="19" t="str">
        <f>'Data Intelligence Dashboard'!D126</f>
        <v>Carol Evans</v>
      </c>
      <c r="K128" s="19" t="str">
        <f t="shared" si="2"/>
        <v>Carol Evans</v>
      </c>
      <c r="L128" s="19" t="str">
        <f t="shared" si="3"/>
        <v>CE</v>
      </c>
    </row>
    <row r="129" spans="5:12" x14ac:dyDescent="0.25">
      <c r="E129" s="19" t="str">
        <f>'Data Intelligence Dashboard'!D127</f>
        <v>Daniel King</v>
      </c>
      <c r="K129" s="19" t="str">
        <f t="shared" si="2"/>
        <v>Daniel King</v>
      </c>
      <c r="L129" s="19" t="str">
        <f t="shared" si="3"/>
        <v>DK</v>
      </c>
    </row>
    <row r="130" spans="5:12" x14ac:dyDescent="0.25">
      <c r="E130" s="19" t="str">
        <f>'Data Intelligence Dashboard'!D128</f>
        <v>George Adams</v>
      </c>
      <c r="K130" s="19" t="str">
        <f t="shared" si="2"/>
        <v>George Adams</v>
      </c>
      <c r="L130" s="19" t="str">
        <f t="shared" si="3"/>
        <v>GA</v>
      </c>
    </row>
    <row r="131" spans="5:12" x14ac:dyDescent="0.25">
      <c r="E131" s="19" t="str">
        <f>'Data Intelligence Dashboard'!D129</f>
        <v>Barbara Young</v>
      </c>
      <c r="K131" s="19" t="str">
        <f t="shared" si="2"/>
        <v>Barbara Young</v>
      </c>
      <c r="L131" s="19" t="str">
        <f t="shared" si="3"/>
        <v>BY</v>
      </c>
    </row>
    <row r="132" spans="5:12" x14ac:dyDescent="0.25">
      <c r="E132" s="19" t="str">
        <f>'Data Intelligence Dashboard'!D130</f>
        <v>Raymond Ross</v>
      </c>
      <c r="K132" s="19" t="str">
        <f t="shared" si="2"/>
        <v>Raymond Ross</v>
      </c>
      <c r="L132" s="19" t="str">
        <f t="shared" si="3"/>
        <v>RR</v>
      </c>
    </row>
    <row r="133" spans="5:12" x14ac:dyDescent="0.25">
      <c r="E133" s="19" t="str">
        <f>'Data Intelligence Dashboard'!D131</f>
        <v>Sharon Butler</v>
      </c>
      <c r="K133" s="19" t="str">
        <f t="shared" ref="K133:K196" si="4">E133</f>
        <v>Sharon Butler</v>
      </c>
      <c r="L133" s="19" t="str">
        <f t="shared" ref="L133:L196" si="5">LEFT(K133,1)&amp;LEFT(RIGHT(K133,LEN(K133)-FIND(" ",K133)),1)</f>
        <v>SB</v>
      </c>
    </row>
    <row r="134" spans="5:12" x14ac:dyDescent="0.25">
      <c r="E134" s="19" t="str">
        <f>'Data Intelligence Dashboard'!D132</f>
        <v>Lawrence Reed</v>
      </c>
      <c r="K134" s="19" t="str">
        <f t="shared" si="4"/>
        <v>Lawrence Reed</v>
      </c>
      <c r="L134" s="19" t="str">
        <f t="shared" si="5"/>
        <v>LR</v>
      </c>
    </row>
    <row r="135" spans="5:12" x14ac:dyDescent="0.25">
      <c r="E135" s="19" t="str">
        <f>'Data Intelligence Dashboard'!D133</f>
        <v>Lawrence Reed</v>
      </c>
      <c r="K135" s="19" t="str">
        <f t="shared" si="4"/>
        <v>Lawrence Reed</v>
      </c>
      <c r="L135" s="19" t="str">
        <f t="shared" si="5"/>
        <v>LR</v>
      </c>
    </row>
    <row r="136" spans="5:12" x14ac:dyDescent="0.25">
      <c r="E136" s="19" t="str">
        <f>'Data Intelligence Dashboard'!D134</f>
        <v>Kathleen Bennett</v>
      </c>
      <c r="K136" s="19" t="str">
        <f t="shared" si="4"/>
        <v>Kathleen Bennett</v>
      </c>
      <c r="L136" s="19" t="str">
        <f t="shared" si="5"/>
        <v>KB</v>
      </c>
    </row>
    <row r="137" spans="5:12" x14ac:dyDescent="0.25">
      <c r="E137" s="19" t="str">
        <f>'Data Intelligence Dashboard'!D135</f>
        <v>Sarah Davis</v>
      </c>
      <c r="K137" s="19" t="str">
        <f t="shared" si="4"/>
        <v>Sarah Davis</v>
      </c>
      <c r="L137" s="19" t="str">
        <f t="shared" si="5"/>
        <v>SD</v>
      </c>
    </row>
    <row r="138" spans="5:12" x14ac:dyDescent="0.25">
      <c r="E138" s="19" t="str">
        <f>'Data Intelligence Dashboard'!D136</f>
        <v>Betty Campbell</v>
      </c>
      <c r="K138" s="19" t="str">
        <f t="shared" si="4"/>
        <v>Betty Campbell</v>
      </c>
      <c r="L138" s="19" t="str">
        <f t="shared" si="5"/>
        <v>BC</v>
      </c>
    </row>
    <row r="139" spans="5:12" x14ac:dyDescent="0.25">
      <c r="E139" s="19" t="str">
        <f>'Data Intelligence Dashboard'!D137</f>
        <v>Raymond Ross</v>
      </c>
      <c r="K139" s="19" t="str">
        <f t="shared" si="4"/>
        <v>Raymond Ross</v>
      </c>
      <c r="L139" s="19" t="str">
        <f t="shared" si="5"/>
        <v>RR</v>
      </c>
    </row>
    <row r="140" spans="5:12" x14ac:dyDescent="0.25">
      <c r="E140" s="19" t="str">
        <f>'Data Intelligence Dashboard'!D138</f>
        <v>Paul Baker</v>
      </c>
      <c r="K140" s="19" t="str">
        <f t="shared" si="4"/>
        <v>Paul Baker</v>
      </c>
      <c r="L140" s="19" t="str">
        <f t="shared" si="5"/>
        <v>PB</v>
      </c>
    </row>
    <row r="141" spans="5:12" x14ac:dyDescent="0.25">
      <c r="E141" s="19" t="str">
        <f>'Data Intelligence Dashboard'!D139</f>
        <v>Karen Hill</v>
      </c>
      <c r="K141" s="19" t="str">
        <f t="shared" si="4"/>
        <v>Karen Hill</v>
      </c>
      <c r="L141" s="19" t="str">
        <f t="shared" si="5"/>
        <v>KH</v>
      </c>
    </row>
    <row r="142" spans="5:12" x14ac:dyDescent="0.25">
      <c r="E142" s="19" t="str">
        <f>'Data Intelligence Dashboard'!D140</f>
        <v>Patricia Moore</v>
      </c>
      <c r="K142" s="19" t="str">
        <f t="shared" si="4"/>
        <v>Patricia Moore</v>
      </c>
      <c r="L142" s="19" t="str">
        <f t="shared" si="5"/>
        <v>PM</v>
      </c>
    </row>
    <row r="143" spans="5:12" x14ac:dyDescent="0.25">
      <c r="E143" s="19" t="str">
        <f>'Data Intelligence Dashboard'!D141</f>
        <v>Maria Garcia</v>
      </c>
      <c r="K143" s="19" t="str">
        <f t="shared" si="4"/>
        <v>Maria Garcia</v>
      </c>
      <c r="L143" s="19" t="str">
        <f t="shared" si="5"/>
        <v>MG</v>
      </c>
    </row>
    <row r="144" spans="5:12" x14ac:dyDescent="0.25">
      <c r="E144" s="19" t="str">
        <f>'Data Intelligence Dashboard'!D142</f>
        <v>Margaret Wright</v>
      </c>
      <c r="K144" s="19" t="str">
        <f t="shared" si="4"/>
        <v>Margaret Wright</v>
      </c>
      <c r="L144" s="19" t="str">
        <f t="shared" si="5"/>
        <v>MW</v>
      </c>
    </row>
    <row r="145" spans="5:12" x14ac:dyDescent="0.25">
      <c r="E145" s="19" t="str">
        <f>'Data Intelligence Dashboard'!D143</f>
        <v>Peter Richardson</v>
      </c>
      <c r="K145" s="19" t="str">
        <f t="shared" si="4"/>
        <v>Peter Richardson</v>
      </c>
      <c r="L145" s="19" t="str">
        <f t="shared" si="5"/>
        <v>PR</v>
      </c>
    </row>
    <row r="146" spans="5:12" x14ac:dyDescent="0.25">
      <c r="E146" s="19" t="str">
        <f>'Data Intelligence Dashboard'!D144</f>
        <v>Paul Baker</v>
      </c>
      <c r="K146" s="19" t="str">
        <f t="shared" si="4"/>
        <v>Paul Baker</v>
      </c>
      <c r="L146" s="19" t="str">
        <f t="shared" si="5"/>
        <v>PB</v>
      </c>
    </row>
    <row r="147" spans="5:12" x14ac:dyDescent="0.25">
      <c r="E147" s="19" t="str">
        <f>'Data Intelligence Dashboard'!D145</f>
        <v>Patricia Moore</v>
      </c>
      <c r="K147" s="19" t="str">
        <f t="shared" si="4"/>
        <v>Patricia Moore</v>
      </c>
      <c r="L147" s="19" t="str">
        <f t="shared" si="5"/>
        <v>PM</v>
      </c>
    </row>
    <row r="148" spans="5:12" x14ac:dyDescent="0.25">
      <c r="E148" s="19" t="str">
        <f>'Data Intelligence Dashboard'!D146</f>
        <v>Sarah Davis</v>
      </c>
      <c r="K148" s="19" t="str">
        <f t="shared" si="4"/>
        <v>Sarah Davis</v>
      </c>
      <c r="L148" s="19" t="str">
        <f t="shared" si="5"/>
        <v>SD</v>
      </c>
    </row>
    <row r="149" spans="5:12" x14ac:dyDescent="0.25">
      <c r="E149" s="19" t="str">
        <f>'Data Intelligence Dashboard'!D147</f>
        <v>George Adams</v>
      </c>
      <c r="K149" s="19" t="str">
        <f t="shared" si="4"/>
        <v>George Adams</v>
      </c>
      <c r="L149" s="19" t="str">
        <f t="shared" si="5"/>
        <v>GA</v>
      </c>
    </row>
    <row r="150" spans="5:12" x14ac:dyDescent="0.25">
      <c r="E150" s="19" t="str">
        <f>'Data Intelligence Dashboard'!D148</f>
        <v>Sandra Phillips</v>
      </c>
      <c r="K150" s="19" t="str">
        <f t="shared" si="4"/>
        <v>Sandra Phillips</v>
      </c>
      <c r="L150" s="19" t="str">
        <f t="shared" si="5"/>
        <v>SP</v>
      </c>
    </row>
    <row r="151" spans="5:12" x14ac:dyDescent="0.25">
      <c r="E151" s="19" t="str">
        <f>'Data Intelligence Dashboard'!D149</f>
        <v>Mark Carter</v>
      </c>
      <c r="K151" s="19" t="str">
        <f t="shared" si="4"/>
        <v>Mark Carter</v>
      </c>
      <c r="L151" s="19" t="str">
        <f t="shared" si="5"/>
        <v>MC</v>
      </c>
    </row>
    <row r="152" spans="5:12" x14ac:dyDescent="0.25">
      <c r="E152" s="19" t="str">
        <f>'Data Intelligence Dashboard'!D150</f>
        <v>Edward Mitchell</v>
      </c>
      <c r="K152" s="19" t="str">
        <f t="shared" si="4"/>
        <v>Edward Mitchell</v>
      </c>
      <c r="L152" s="19" t="str">
        <f t="shared" si="5"/>
        <v>EM</v>
      </c>
    </row>
    <row r="153" spans="5:12" x14ac:dyDescent="0.25">
      <c r="E153" s="19" t="str">
        <f>'Data Intelligence Dashboard'!D151</f>
        <v>Frank Torres</v>
      </c>
      <c r="K153" s="19" t="str">
        <f t="shared" si="4"/>
        <v>Frank Torres</v>
      </c>
      <c r="L153" s="19" t="str">
        <f t="shared" si="5"/>
        <v>FT</v>
      </c>
    </row>
    <row r="154" spans="5:12" x14ac:dyDescent="0.25">
      <c r="E154" s="19" t="str">
        <f>'Data Intelligence Dashboard'!D152</f>
        <v>Sarah Davis</v>
      </c>
      <c r="K154" s="19" t="str">
        <f t="shared" si="4"/>
        <v>Sarah Davis</v>
      </c>
      <c r="L154" s="19" t="str">
        <f t="shared" si="5"/>
        <v>SD</v>
      </c>
    </row>
    <row r="155" spans="5:12" x14ac:dyDescent="0.25">
      <c r="E155" s="19" t="str">
        <f>'Data Intelligence Dashboard'!D153</f>
        <v>Douglas Watson</v>
      </c>
      <c r="K155" s="19" t="str">
        <f t="shared" si="4"/>
        <v>Douglas Watson</v>
      </c>
      <c r="L155" s="19" t="str">
        <f t="shared" si="5"/>
        <v>DW</v>
      </c>
    </row>
    <row r="156" spans="5:12" x14ac:dyDescent="0.25">
      <c r="E156" s="19" t="str">
        <f>'Data Intelligence Dashboard'!D154</f>
        <v>Linda Martin</v>
      </c>
      <c r="K156" s="19" t="str">
        <f t="shared" si="4"/>
        <v>Linda Martin</v>
      </c>
      <c r="L156" s="19" t="str">
        <f t="shared" si="5"/>
        <v>LM</v>
      </c>
    </row>
    <row r="157" spans="5:12" x14ac:dyDescent="0.25">
      <c r="E157" s="19" t="str">
        <f>'Data Intelligence Dashboard'!D155</f>
        <v>Kevin Scott</v>
      </c>
      <c r="K157" s="19" t="str">
        <f t="shared" si="4"/>
        <v>Kevin Scott</v>
      </c>
      <c r="L157" s="19" t="str">
        <f t="shared" si="5"/>
        <v>KS</v>
      </c>
    </row>
    <row r="158" spans="5:12" x14ac:dyDescent="0.25">
      <c r="E158" s="19" t="str">
        <f>'Data Intelligence Dashboard'!D156</f>
        <v>Charles Allen</v>
      </c>
      <c r="K158" s="19" t="str">
        <f t="shared" si="4"/>
        <v>Charles Allen</v>
      </c>
      <c r="L158" s="19" t="str">
        <f t="shared" si="5"/>
        <v>CA</v>
      </c>
    </row>
    <row r="159" spans="5:12" x14ac:dyDescent="0.25">
      <c r="E159" s="19" t="str">
        <f>'Data Intelligence Dashboard'!D157</f>
        <v>Joseph Jackson</v>
      </c>
      <c r="K159" s="19" t="str">
        <f t="shared" si="4"/>
        <v>Joseph Jackson</v>
      </c>
      <c r="L159" s="19" t="str">
        <f t="shared" si="5"/>
        <v>JJ</v>
      </c>
    </row>
    <row r="160" spans="5:12" x14ac:dyDescent="0.25">
      <c r="E160" s="19" t="str">
        <f>'Data Intelligence Dashboard'!D158</f>
        <v>Mark Carter</v>
      </c>
      <c r="K160" s="19" t="str">
        <f t="shared" si="4"/>
        <v>Mark Carter</v>
      </c>
      <c r="L160" s="19" t="str">
        <f t="shared" si="5"/>
        <v>MC</v>
      </c>
    </row>
    <row r="161" spans="5:12" x14ac:dyDescent="0.25">
      <c r="E161" s="19" t="str">
        <f>'Data Intelligence Dashboard'!D159</f>
        <v>William White</v>
      </c>
      <c r="K161" s="19" t="str">
        <f t="shared" si="4"/>
        <v>William White</v>
      </c>
      <c r="L161" s="19" t="str">
        <f t="shared" si="5"/>
        <v>WW</v>
      </c>
    </row>
    <row r="162" spans="5:12" x14ac:dyDescent="0.25">
      <c r="E162" s="19" t="str">
        <f>'Data Intelligence Dashboard'!D160</f>
        <v>Dorothy Nelson</v>
      </c>
      <c r="K162" s="19" t="str">
        <f t="shared" si="4"/>
        <v>Dorothy Nelson</v>
      </c>
      <c r="L162" s="19" t="str">
        <f t="shared" si="5"/>
        <v>DN</v>
      </c>
    </row>
    <row r="163" spans="5:12" x14ac:dyDescent="0.25">
      <c r="E163" s="19" t="str">
        <f>'Data Intelligence Dashboard'!D161</f>
        <v>Nancy Collins</v>
      </c>
      <c r="K163" s="19" t="str">
        <f t="shared" si="4"/>
        <v>Nancy Collins</v>
      </c>
      <c r="L163" s="19" t="str">
        <f t="shared" si="5"/>
        <v>NC</v>
      </c>
    </row>
    <row r="164" spans="5:12" x14ac:dyDescent="0.25">
      <c r="E164" s="19" t="str">
        <f>'Data Intelligence Dashboard'!D162</f>
        <v>James Johnson</v>
      </c>
      <c r="K164" s="19" t="str">
        <f t="shared" si="4"/>
        <v>James Johnson</v>
      </c>
      <c r="L164" s="19" t="str">
        <f t="shared" si="5"/>
        <v>JJ</v>
      </c>
    </row>
    <row r="165" spans="5:12" x14ac:dyDescent="0.25">
      <c r="E165" s="19" t="str">
        <f>'Data Intelligence Dashboard'!D163</f>
        <v>Jennifer Taylor</v>
      </c>
      <c r="K165" s="19" t="str">
        <f t="shared" si="4"/>
        <v>Jennifer Taylor</v>
      </c>
      <c r="L165" s="19" t="str">
        <f t="shared" si="5"/>
        <v>JT</v>
      </c>
    </row>
    <row r="166" spans="5:12" x14ac:dyDescent="0.25">
      <c r="E166" s="19" t="str">
        <f>'Data Intelligence Dashboard'!D164</f>
        <v>Helen Roberts</v>
      </c>
      <c r="K166" s="19" t="str">
        <f t="shared" si="4"/>
        <v>Helen Roberts</v>
      </c>
      <c r="L166" s="19" t="str">
        <f t="shared" si="5"/>
        <v>HR</v>
      </c>
    </row>
    <row r="167" spans="5:12" x14ac:dyDescent="0.25">
      <c r="E167" s="19" t="str">
        <f>'Data Intelligence Dashboard'!D165</f>
        <v>Peter Richardson</v>
      </c>
      <c r="K167" s="19" t="str">
        <f t="shared" si="4"/>
        <v>Peter Richardson</v>
      </c>
      <c r="L167" s="19" t="str">
        <f t="shared" si="5"/>
        <v>PR</v>
      </c>
    </row>
    <row r="168" spans="5:12" x14ac:dyDescent="0.25">
      <c r="E168" s="19" t="str">
        <f>'Data Intelligence Dashboard'!D166</f>
        <v>David Martinez</v>
      </c>
      <c r="K168" s="19" t="str">
        <f t="shared" si="4"/>
        <v>David Martinez</v>
      </c>
      <c r="L168" s="19" t="str">
        <f t="shared" si="5"/>
        <v>DM</v>
      </c>
    </row>
    <row r="169" spans="5:12" x14ac:dyDescent="0.25">
      <c r="E169" s="19" t="str">
        <f>'Data Intelligence Dashboard'!D167</f>
        <v>Steven Turner</v>
      </c>
      <c r="K169" s="19" t="str">
        <f t="shared" si="4"/>
        <v>Steven Turner</v>
      </c>
      <c r="L169" s="19" t="str">
        <f t="shared" si="5"/>
        <v>ST</v>
      </c>
    </row>
    <row r="170" spans="5:12" x14ac:dyDescent="0.25">
      <c r="E170" s="19" t="str">
        <f>'Data Intelligence Dashboard'!D168</f>
        <v>Emma Wilson</v>
      </c>
      <c r="K170" s="19" t="str">
        <f t="shared" si="4"/>
        <v>Emma Wilson</v>
      </c>
      <c r="L170" s="19" t="str">
        <f t="shared" si="5"/>
        <v>EW</v>
      </c>
    </row>
    <row r="171" spans="5:12" x14ac:dyDescent="0.25">
      <c r="E171" s="19" t="str">
        <f>'Data Intelligence Dashboard'!D169</f>
        <v>David Martinez</v>
      </c>
      <c r="K171" s="19" t="str">
        <f t="shared" si="4"/>
        <v>David Martinez</v>
      </c>
      <c r="L171" s="19" t="str">
        <f t="shared" si="5"/>
        <v>DM</v>
      </c>
    </row>
    <row r="172" spans="5:12" x14ac:dyDescent="0.25">
      <c r="E172" s="19" t="str">
        <f>'Data Intelligence Dashboard'!D170</f>
        <v>Daniel King</v>
      </c>
      <c r="K172" s="19" t="str">
        <f t="shared" si="4"/>
        <v>Daniel King</v>
      </c>
      <c r="L172" s="19" t="str">
        <f t="shared" si="5"/>
        <v>DK</v>
      </c>
    </row>
    <row r="173" spans="5:12" x14ac:dyDescent="0.25">
      <c r="E173" s="19" t="str">
        <f>'Data Intelligence Dashboard'!D171</f>
        <v>Michael Brown</v>
      </c>
      <c r="K173" s="19" t="str">
        <f t="shared" si="4"/>
        <v>Michael Brown</v>
      </c>
      <c r="L173" s="19" t="str">
        <f t="shared" si="5"/>
        <v>MB</v>
      </c>
    </row>
    <row r="174" spans="5:12" x14ac:dyDescent="0.25">
      <c r="E174" s="19" t="str">
        <f>'Data Intelligence Dashboard'!D172</f>
        <v>Linda Martin</v>
      </c>
      <c r="K174" s="19" t="str">
        <f t="shared" si="4"/>
        <v>Linda Martin</v>
      </c>
      <c r="L174" s="19" t="str">
        <f t="shared" si="5"/>
        <v>LM</v>
      </c>
    </row>
    <row r="175" spans="5:12" x14ac:dyDescent="0.25">
      <c r="E175" s="19" t="str">
        <f>'Data Intelligence Dashboard'!D173</f>
        <v>David Martinez</v>
      </c>
      <c r="K175" s="19" t="str">
        <f t="shared" si="4"/>
        <v>David Martinez</v>
      </c>
      <c r="L175" s="19" t="str">
        <f t="shared" si="5"/>
        <v>DM</v>
      </c>
    </row>
    <row r="176" spans="5:12" x14ac:dyDescent="0.25">
      <c r="E176" s="19" t="str">
        <f>'Data Intelligence Dashboard'!D174</f>
        <v>Kevin Scott</v>
      </c>
      <c r="K176" s="19" t="str">
        <f t="shared" si="4"/>
        <v>Kevin Scott</v>
      </c>
      <c r="L176" s="19" t="str">
        <f t="shared" si="5"/>
        <v>KS</v>
      </c>
    </row>
    <row r="177" spans="5:12" x14ac:dyDescent="0.25">
      <c r="E177" s="19" t="str">
        <f>'Data Intelligence Dashboard'!D175</f>
        <v>Michael Brown</v>
      </c>
      <c r="K177" s="19" t="str">
        <f t="shared" si="4"/>
        <v>Michael Brown</v>
      </c>
      <c r="L177" s="19" t="str">
        <f t="shared" si="5"/>
        <v>MB</v>
      </c>
    </row>
    <row r="178" spans="5:12" x14ac:dyDescent="0.25">
      <c r="E178" s="19" t="str">
        <f>'Data Intelligence Dashboard'!D176</f>
        <v>Helen Roberts</v>
      </c>
      <c r="K178" s="19" t="str">
        <f t="shared" si="4"/>
        <v>Helen Roberts</v>
      </c>
      <c r="L178" s="19" t="str">
        <f t="shared" si="5"/>
        <v>HR</v>
      </c>
    </row>
    <row r="179" spans="5:12" x14ac:dyDescent="0.25">
      <c r="E179" s="19" t="str">
        <f>'Data Intelligence Dashboard'!D177</f>
        <v>Robert Thomas</v>
      </c>
      <c r="K179" s="19" t="str">
        <f t="shared" si="4"/>
        <v>Robert Thomas</v>
      </c>
      <c r="L179" s="19" t="str">
        <f t="shared" si="5"/>
        <v>RT</v>
      </c>
    </row>
    <row r="180" spans="5:12" x14ac:dyDescent="0.25">
      <c r="E180" s="19" t="str">
        <f>'Data Intelligence Dashboard'!D178</f>
        <v>Nancy Collins</v>
      </c>
      <c r="K180" s="19" t="str">
        <f t="shared" si="4"/>
        <v>Nancy Collins</v>
      </c>
      <c r="L180" s="19" t="str">
        <f t="shared" si="5"/>
        <v>NC</v>
      </c>
    </row>
    <row r="181" spans="5:12" x14ac:dyDescent="0.25">
      <c r="E181" s="19" t="str">
        <f>'Data Intelligence Dashboard'!D179</f>
        <v>Mark Carter</v>
      </c>
      <c r="K181" s="19" t="str">
        <f t="shared" si="4"/>
        <v>Mark Carter</v>
      </c>
      <c r="L181" s="19" t="str">
        <f t="shared" si="5"/>
        <v>MC</v>
      </c>
    </row>
    <row r="182" spans="5:12" x14ac:dyDescent="0.25">
      <c r="E182" s="19" t="str">
        <f>'Data Intelligence Dashboard'!D180</f>
        <v>Daniel King</v>
      </c>
      <c r="K182" s="19" t="str">
        <f t="shared" si="4"/>
        <v>Daniel King</v>
      </c>
      <c r="L182" s="19" t="str">
        <f t="shared" si="5"/>
        <v>DK</v>
      </c>
    </row>
    <row r="183" spans="5:12" x14ac:dyDescent="0.25">
      <c r="E183" s="19" t="str">
        <f>'Data Intelligence Dashboard'!D181</f>
        <v>Arthur Edwards</v>
      </c>
      <c r="K183" s="19" t="str">
        <f t="shared" si="4"/>
        <v>Arthur Edwards</v>
      </c>
      <c r="L183" s="19" t="str">
        <f t="shared" si="5"/>
        <v>AE</v>
      </c>
    </row>
    <row r="184" spans="5:12" x14ac:dyDescent="0.25">
      <c r="E184" s="19" t="str">
        <f>'Data Intelligence Dashboard'!D182</f>
        <v>Lisa Anderson</v>
      </c>
      <c r="K184" s="19" t="str">
        <f t="shared" si="4"/>
        <v>Lisa Anderson</v>
      </c>
      <c r="L184" s="19" t="str">
        <f t="shared" si="5"/>
        <v>LA</v>
      </c>
    </row>
    <row r="185" spans="5:12" x14ac:dyDescent="0.25">
      <c r="E185" s="19" t="str">
        <f>'Data Intelligence Dashboard'!D183</f>
        <v>Michael Brown</v>
      </c>
      <c r="K185" s="19" t="str">
        <f t="shared" si="4"/>
        <v>Michael Brown</v>
      </c>
      <c r="L185" s="19" t="str">
        <f t="shared" si="5"/>
        <v>MB</v>
      </c>
    </row>
    <row r="186" spans="5:12" x14ac:dyDescent="0.25">
      <c r="E186" s="19" t="str">
        <f>'Data Intelligence Dashboard'!D184</f>
        <v>Karen Hill</v>
      </c>
      <c r="K186" s="19" t="str">
        <f t="shared" si="4"/>
        <v>Karen Hill</v>
      </c>
      <c r="L186" s="19" t="str">
        <f t="shared" si="5"/>
        <v>KH</v>
      </c>
    </row>
    <row r="187" spans="5:12" x14ac:dyDescent="0.25">
      <c r="E187" s="19" t="str">
        <f>'Data Intelligence Dashboard'!D185</f>
        <v>Nancy Collins</v>
      </c>
      <c r="K187" s="19" t="str">
        <f t="shared" si="4"/>
        <v>Nancy Collins</v>
      </c>
      <c r="L187" s="19" t="str">
        <f t="shared" si="5"/>
        <v>NC</v>
      </c>
    </row>
    <row r="188" spans="5:12" x14ac:dyDescent="0.25">
      <c r="E188" s="19" t="str">
        <f>'Data Intelligence Dashboard'!D186</f>
        <v>Virginia Sanders</v>
      </c>
      <c r="K188" s="19" t="str">
        <f t="shared" si="4"/>
        <v>Virginia Sanders</v>
      </c>
      <c r="L188" s="19" t="str">
        <f t="shared" si="5"/>
        <v>VS</v>
      </c>
    </row>
    <row r="189" spans="5:12" x14ac:dyDescent="0.25">
      <c r="E189" s="19" t="str">
        <f>'Data Intelligence Dashboard'!D187</f>
        <v>Steven Turner</v>
      </c>
      <c r="K189" s="19" t="str">
        <f t="shared" si="4"/>
        <v>Steven Turner</v>
      </c>
      <c r="L189" s="19" t="str">
        <f t="shared" si="5"/>
        <v>ST</v>
      </c>
    </row>
    <row r="190" spans="5:12" x14ac:dyDescent="0.25">
      <c r="E190" s="19" t="str">
        <f>'Data Intelligence Dashboard'!D188</f>
        <v>Michelle Rogers</v>
      </c>
      <c r="K190" s="19" t="str">
        <f t="shared" si="4"/>
        <v>Michelle Rogers</v>
      </c>
      <c r="L190" s="19" t="str">
        <f t="shared" si="5"/>
        <v>MR</v>
      </c>
    </row>
    <row r="191" spans="5:12" x14ac:dyDescent="0.25">
      <c r="E191" s="19" t="str">
        <f>'Data Intelligence Dashboard'!D189</f>
        <v>Douglas Watson</v>
      </c>
      <c r="K191" s="19" t="str">
        <f t="shared" si="4"/>
        <v>Douglas Watson</v>
      </c>
      <c r="L191" s="19" t="str">
        <f t="shared" si="5"/>
        <v>DW</v>
      </c>
    </row>
    <row r="192" spans="5:12" x14ac:dyDescent="0.25">
      <c r="E192" s="19" t="str">
        <f>'Data Intelligence Dashboard'!D190</f>
        <v>Mark Carter</v>
      </c>
      <c r="K192" s="19" t="str">
        <f t="shared" si="4"/>
        <v>Mark Carter</v>
      </c>
      <c r="L192" s="19" t="str">
        <f t="shared" si="5"/>
        <v>MC</v>
      </c>
    </row>
    <row r="193" spans="5:12" x14ac:dyDescent="0.25">
      <c r="E193" s="19" t="str">
        <f>'Data Intelligence Dashboard'!D191</f>
        <v>Betty Campbell</v>
      </c>
      <c r="K193" s="19" t="str">
        <f t="shared" si="4"/>
        <v>Betty Campbell</v>
      </c>
      <c r="L193" s="19" t="str">
        <f t="shared" si="5"/>
        <v>BC</v>
      </c>
    </row>
    <row r="194" spans="5:12" x14ac:dyDescent="0.25">
      <c r="E194" s="19" t="str">
        <f>'Data Intelligence Dashboard'!D192</f>
        <v>Helen Roberts</v>
      </c>
      <c r="K194" s="19" t="str">
        <f t="shared" si="4"/>
        <v>Helen Roberts</v>
      </c>
      <c r="L194" s="19" t="str">
        <f t="shared" si="5"/>
        <v>HR</v>
      </c>
    </row>
    <row r="195" spans="5:12" x14ac:dyDescent="0.25">
      <c r="E195" s="19" t="str">
        <f>'Data Intelligence Dashboard'!D193</f>
        <v>Sandra Phillips</v>
      </c>
      <c r="K195" s="19" t="str">
        <f t="shared" si="4"/>
        <v>Sandra Phillips</v>
      </c>
      <c r="L195" s="19" t="str">
        <f t="shared" si="5"/>
        <v>SP</v>
      </c>
    </row>
    <row r="196" spans="5:12" x14ac:dyDescent="0.25">
      <c r="E196" s="19" t="str">
        <f>'Data Intelligence Dashboard'!D194</f>
        <v>Lawrence Reed</v>
      </c>
      <c r="K196" s="19" t="str">
        <f t="shared" si="4"/>
        <v>Lawrence Reed</v>
      </c>
      <c r="L196" s="19" t="str">
        <f t="shared" si="5"/>
        <v>LR</v>
      </c>
    </row>
    <row r="197" spans="5:12" x14ac:dyDescent="0.25">
      <c r="E197" s="19" t="str">
        <f>'Data Intelligence Dashboard'!D195</f>
        <v>Elizabeth Hall</v>
      </c>
      <c r="K197" s="19" t="str">
        <f t="shared" ref="K197:K253" si="6">E197</f>
        <v>Elizabeth Hall</v>
      </c>
      <c r="L197" s="19" t="str">
        <f t="shared" ref="L197:L253" si="7">LEFT(K197,1)&amp;LEFT(RIGHT(K197,LEN(K197)-FIND(" ",K197)),1)</f>
        <v>EH</v>
      </c>
    </row>
    <row r="198" spans="5:12" x14ac:dyDescent="0.25">
      <c r="E198" s="19" t="str">
        <f>'Data Intelligence Dashboard'!D196</f>
        <v>Robert Thomas</v>
      </c>
      <c r="K198" s="19" t="str">
        <f t="shared" si="6"/>
        <v>Robert Thomas</v>
      </c>
      <c r="L198" s="19" t="str">
        <f t="shared" si="7"/>
        <v>RT</v>
      </c>
    </row>
    <row r="199" spans="5:12" x14ac:dyDescent="0.25">
      <c r="E199" s="19" t="str">
        <f>'Data Intelligence Dashboard'!D197</f>
        <v>Lisa Anderson</v>
      </c>
      <c r="K199" s="19" t="str">
        <f t="shared" si="6"/>
        <v>Lisa Anderson</v>
      </c>
      <c r="L199" s="19" t="str">
        <f t="shared" si="7"/>
        <v>LA</v>
      </c>
    </row>
    <row r="200" spans="5:12" x14ac:dyDescent="0.25">
      <c r="E200" s="19" t="str">
        <f>'Data Intelligence Dashboard'!D198</f>
        <v>Susan Green</v>
      </c>
      <c r="K200" s="19" t="str">
        <f t="shared" si="6"/>
        <v>Susan Green</v>
      </c>
      <c r="L200" s="19" t="str">
        <f t="shared" si="7"/>
        <v>SG</v>
      </c>
    </row>
    <row r="201" spans="5:12" x14ac:dyDescent="0.25">
      <c r="E201" s="19" t="str">
        <f>'Data Intelligence Dashboard'!D199</f>
        <v>Dorothy Nelson</v>
      </c>
      <c r="K201" s="19" t="str">
        <f t="shared" si="6"/>
        <v>Dorothy Nelson</v>
      </c>
      <c r="L201" s="19" t="str">
        <f t="shared" si="7"/>
        <v>DN</v>
      </c>
    </row>
    <row r="202" spans="5:12" x14ac:dyDescent="0.25">
      <c r="E202" s="19" t="str">
        <f>'Data Intelligence Dashboard'!D200</f>
        <v>William White</v>
      </c>
      <c r="K202" s="19" t="str">
        <f t="shared" si="6"/>
        <v>William White</v>
      </c>
      <c r="L202" s="19" t="str">
        <f t="shared" si="7"/>
        <v>WW</v>
      </c>
    </row>
    <row r="203" spans="5:12" x14ac:dyDescent="0.25">
      <c r="E203" s="19" t="str">
        <f>'Data Intelligence Dashboard'!D201</f>
        <v>Mark Carter</v>
      </c>
      <c r="K203" s="19" t="str">
        <f t="shared" si="6"/>
        <v>Mark Carter</v>
      </c>
      <c r="L203" s="19" t="str">
        <f t="shared" si="7"/>
        <v>MC</v>
      </c>
    </row>
    <row r="204" spans="5:12" x14ac:dyDescent="0.25">
      <c r="E204" s="19" t="str">
        <f>'Data Intelligence Dashboard'!D202</f>
        <v>Douglas Watson</v>
      </c>
      <c r="K204" s="19" t="str">
        <f t="shared" si="6"/>
        <v>Douglas Watson</v>
      </c>
      <c r="L204" s="19" t="str">
        <f t="shared" si="7"/>
        <v>DW</v>
      </c>
    </row>
    <row r="205" spans="5:12" x14ac:dyDescent="0.25">
      <c r="E205" s="19" t="str">
        <f>'Data Intelligence Dashboard'!D203</f>
        <v>Karen Hill</v>
      </c>
      <c r="K205" s="19" t="str">
        <f t="shared" si="6"/>
        <v>Karen Hill</v>
      </c>
      <c r="L205" s="19" t="str">
        <f t="shared" si="7"/>
        <v>KH</v>
      </c>
    </row>
    <row r="206" spans="5:12" x14ac:dyDescent="0.25">
      <c r="E206" s="19" t="str">
        <f>'Data Intelligence Dashboard'!D204</f>
        <v>Edward Mitchell</v>
      </c>
      <c r="K206" s="19" t="str">
        <f t="shared" si="6"/>
        <v>Edward Mitchell</v>
      </c>
      <c r="L206" s="19" t="str">
        <f t="shared" si="7"/>
        <v>EM</v>
      </c>
    </row>
    <row r="207" spans="5:12" x14ac:dyDescent="0.25">
      <c r="E207" s="19" t="str">
        <f>'Data Intelligence Dashboard'!D205</f>
        <v>Michael Brown</v>
      </c>
      <c r="K207" s="19" t="str">
        <f t="shared" si="6"/>
        <v>Michael Brown</v>
      </c>
      <c r="L207" s="19" t="str">
        <f t="shared" si="7"/>
        <v>MB</v>
      </c>
    </row>
    <row r="208" spans="5:12" x14ac:dyDescent="0.25">
      <c r="E208" s="19" t="str">
        <f>'Data Intelligence Dashboard'!D206</f>
        <v>Arthur Edwards</v>
      </c>
      <c r="K208" s="19" t="str">
        <f t="shared" si="6"/>
        <v>Arthur Edwards</v>
      </c>
      <c r="L208" s="19" t="str">
        <f t="shared" si="7"/>
        <v>AE</v>
      </c>
    </row>
    <row r="209" spans="5:12" x14ac:dyDescent="0.25">
      <c r="E209" s="19" t="str">
        <f>'Data Intelligence Dashboard'!D207</f>
        <v>Ruth Brooks</v>
      </c>
      <c r="K209" s="19" t="str">
        <f t="shared" si="6"/>
        <v>Ruth Brooks</v>
      </c>
      <c r="L209" s="19" t="str">
        <f t="shared" si="7"/>
        <v>RB</v>
      </c>
    </row>
    <row r="210" spans="5:12" x14ac:dyDescent="0.25">
      <c r="E210" s="19" t="str">
        <f>'Data Intelligence Dashboard'!D208</f>
        <v>Virginia Sanders</v>
      </c>
      <c r="K210" s="19" t="str">
        <f t="shared" si="6"/>
        <v>Virginia Sanders</v>
      </c>
      <c r="L210" s="19" t="str">
        <f t="shared" si="7"/>
        <v>VS</v>
      </c>
    </row>
    <row r="211" spans="5:12" x14ac:dyDescent="0.25">
      <c r="E211" s="19" t="str">
        <f>'Data Intelligence Dashboard'!D209</f>
        <v>Sharon Butler</v>
      </c>
      <c r="K211" s="19" t="str">
        <f t="shared" si="6"/>
        <v>Sharon Butler</v>
      </c>
      <c r="L211" s="19" t="str">
        <f t="shared" si="7"/>
        <v>SB</v>
      </c>
    </row>
    <row r="212" spans="5:12" x14ac:dyDescent="0.25">
      <c r="E212" s="19" t="str">
        <f>'Data Intelligence Dashboard'!D210</f>
        <v>Nancy Collins</v>
      </c>
      <c r="K212" s="19" t="str">
        <f t="shared" si="6"/>
        <v>Nancy Collins</v>
      </c>
      <c r="L212" s="19" t="str">
        <f t="shared" si="7"/>
        <v>NC</v>
      </c>
    </row>
    <row r="213" spans="5:12" x14ac:dyDescent="0.25">
      <c r="E213" s="19" t="str">
        <f>'Data Intelligence Dashboard'!D211</f>
        <v>Kevin Scott</v>
      </c>
      <c r="K213" s="19" t="str">
        <f t="shared" si="6"/>
        <v>Kevin Scott</v>
      </c>
      <c r="L213" s="19" t="str">
        <f t="shared" si="7"/>
        <v>KS</v>
      </c>
    </row>
    <row r="214" spans="5:12" x14ac:dyDescent="0.25">
      <c r="E214" s="19" t="str">
        <f>'Data Intelligence Dashboard'!D212</f>
        <v>Paul Baker</v>
      </c>
      <c r="K214" s="19" t="str">
        <f t="shared" si="6"/>
        <v>Paul Baker</v>
      </c>
      <c r="L214" s="19" t="str">
        <f t="shared" si="7"/>
        <v>PB</v>
      </c>
    </row>
    <row r="215" spans="5:12" x14ac:dyDescent="0.25">
      <c r="E215" s="19" t="str">
        <f>'Data Intelligence Dashboard'!D213</f>
        <v>Richard Lee</v>
      </c>
      <c r="K215" s="19" t="str">
        <f t="shared" si="6"/>
        <v>Richard Lee</v>
      </c>
      <c r="L215" s="19" t="str">
        <f t="shared" si="7"/>
        <v>RL</v>
      </c>
    </row>
    <row r="216" spans="5:12" x14ac:dyDescent="0.25">
      <c r="E216" s="19" t="str">
        <f>'Data Intelligence Dashboard'!D214</f>
        <v>Edward Mitchell</v>
      </c>
      <c r="K216" s="19" t="str">
        <f t="shared" si="6"/>
        <v>Edward Mitchell</v>
      </c>
      <c r="L216" s="19" t="str">
        <f t="shared" si="7"/>
        <v>EM</v>
      </c>
    </row>
    <row r="217" spans="5:12" x14ac:dyDescent="0.25">
      <c r="E217" s="19" t="str">
        <f>'Data Intelligence Dashboard'!D215</f>
        <v>Michael Brown</v>
      </c>
      <c r="K217" s="19" t="str">
        <f t="shared" si="6"/>
        <v>Michael Brown</v>
      </c>
      <c r="L217" s="19" t="str">
        <f t="shared" si="7"/>
        <v>MB</v>
      </c>
    </row>
    <row r="218" spans="5:12" x14ac:dyDescent="0.25">
      <c r="E218" s="19" t="str">
        <f>'Data Intelligence Dashboard'!D216</f>
        <v>Barbara Young</v>
      </c>
      <c r="K218" s="19" t="str">
        <f t="shared" si="6"/>
        <v>Barbara Young</v>
      </c>
      <c r="L218" s="19" t="str">
        <f t="shared" si="7"/>
        <v>BY</v>
      </c>
    </row>
    <row r="219" spans="5:12" x14ac:dyDescent="0.25">
      <c r="E219" s="19" t="str">
        <f>'Data Intelligence Dashboard'!D217</f>
        <v>Frank Torres</v>
      </c>
      <c r="K219" s="19" t="str">
        <f t="shared" si="6"/>
        <v>Frank Torres</v>
      </c>
      <c r="L219" s="19" t="str">
        <f t="shared" si="7"/>
        <v>FT</v>
      </c>
    </row>
    <row r="220" spans="5:12" x14ac:dyDescent="0.25">
      <c r="E220" s="19" t="str">
        <f>'Data Intelligence Dashboard'!D218</f>
        <v>Charles Allen</v>
      </c>
      <c r="K220" s="19" t="str">
        <f t="shared" si="6"/>
        <v>Charles Allen</v>
      </c>
      <c r="L220" s="19" t="str">
        <f t="shared" si="7"/>
        <v>CA</v>
      </c>
    </row>
    <row r="221" spans="5:12" x14ac:dyDescent="0.25">
      <c r="E221" s="19" t="str">
        <f>'Data Intelligence Dashboard'!D219</f>
        <v>Sharon Butler</v>
      </c>
      <c r="K221" s="19" t="str">
        <f t="shared" si="6"/>
        <v>Sharon Butler</v>
      </c>
      <c r="L221" s="19" t="str">
        <f t="shared" si="7"/>
        <v>SB</v>
      </c>
    </row>
    <row r="222" spans="5:12" x14ac:dyDescent="0.25">
      <c r="E222" s="19" t="str">
        <f>'Data Intelligence Dashboard'!D220</f>
        <v>Ruth Brooks</v>
      </c>
      <c r="K222" s="19" t="str">
        <f t="shared" si="6"/>
        <v>Ruth Brooks</v>
      </c>
      <c r="L222" s="19" t="str">
        <f t="shared" si="7"/>
        <v>RB</v>
      </c>
    </row>
    <row r="223" spans="5:12" x14ac:dyDescent="0.25">
      <c r="E223" s="19" t="str">
        <f>'Data Intelligence Dashboard'!D221</f>
        <v>Arthur Edwards</v>
      </c>
      <c r="K223" s="19" t="str">
        <f t="shared" si="6"/>
        <v>Arthur Edwards</v>
      </c>
      <c r="L223" s="19" t="str">
        <f t="shared" si="7"/>
        <v>AE</v>
      </c>
    </row>
    <row r="224" spans="5:12" x14ac:dyDescent="0.25">
      <c r="E224" s="19" t="str">
        <f>'Data Intelligence Dashboard'!D222</f>
        <v>Elizabeth Hall</v>
      </c>
      <c r="K224" s="19" t="str">
        <f t="shared" si="6"/>
        <v>Elizabeth Hall</v>
      </c>
      <c r="L224" s="19" t="str">
        <f t="shared" si="7"/>
        <v>EH</v>
      </c>
    </row>
    <row r="225" spans="5:12" x14ac:dyDescent="0.25">
      <c r="E225" s="19" t="str">
        <f>'Data Intelligence Dashboard'!D223</f>
        <v>Steven Turner</v>
      </c>
      <c r="K225" s="19" t="str">
        <f t="shared" si="6"/>
        <v>Steven Turner</v>
      </c>
      <c r="L225" s="19" t="str">
        <f t="shared" si="7"/>
        <v>ST</v>
      </c>
    </row>
    <row r="226" spans="5:12" x14ac:dyDescent="0.25">
      <c r="E226" s="19" t="str">
        <f>'Data Intelligence Dashboard'!D224</f>
        <v>Richard Lee</v>
      </c>
      <c r="K226" s="19" t="str">
        <f t="shared" si="6"/>
        <v>Richard Lee</v>
      </c>
      <c r="L226" s="19" t="str">
        <f t="shared" si="7"/>
        <v>RL</v>
      </c>
    </row>
    <row r="227" spans="5:12" x14ac:dyDescent="0.25">
      <c r="E227" s="19" t="str">
        <f>'Data Intelligence Dashboard'!D225</f>
        <v>Virginia Sanders</v>
      </c>
      <c r="K227" s="19" t="str">
        <f t="shared" si="6"/>
        <v>Virginia Sanders</v>
      </c>
      <c r="L227" s="19" t="str">
        <f t="shared" si="7"/>
        <v>VS</v>
      </c>
    </row>
    <row r="228" spans="5:12" x14ac:dyDescent="0.25">
      <c r="E228" s="19" t="str">
        <f>'Data Intelligence Dashboard'!D226</f>
        <v>Charles Allen</v>
      </c>
      <c r="K228" s="19" t="str">
        <f t="shared" si="6"/>
        <v>Charles Allen</v>
      </c>
      <c r="L228" s="19" t="str">
        <f t="shared" si="7"/>
        <v>CA</v>
      </c>
    </row>
    <row r="229" spans="5:12" x14ac:dyDescent="0.25">
      <c r="E229" s="19" t="str">
        <f>'Data Intelligence Dashboard'!D227</f>
        <v>Lawrence Reed</v>
      </c>
      <c r="K229" s="19" t="str">
        <f t="shared" si="6"/>
        <v>Lawrence Reed</v>
      </c>
      <c r="L229" s="19" t="str">
        <f t="shared" si="7"/>
        <v>LR</v>
      </c>
    </row>
    <row r="230" spans="5:12" x14ac:dyDescent="0.25">
      <c r="E230" s="19" t="str">
        <f>'Data Intelligence Dashboard'!D228</f>
        <v>Dennis Gray</v>
      </c>
      <c r="K230" s="19" t="str">
        <f t="shared" si="6"/>
        <v>Dennis Gray</v>
      </c>
      <c r="L230" s="19" t="str">
        <f t="shared" si="7"/>
        <v>DG</v>
      </c>
    </row>
    <row r="231" spans="5:12" x14ac:dyDescent="0.25">
      <c r="E231" s="19" t="str">
        <f>'Data Intelligence Dashboard'!D229</f>
        <v>Paul Baker</v>
      </c>
      <c r="K231" s="19" t="str">
        <f t="shared" si="6"/>
        <v>Paul Baker</v>
      </c>
      <c r="L231" s="19" t="str">
        <f t="shared" si="7"/>
        <v>PB</v>
      </c>
    </row>
    <row r="232" spans="5:12" x14ac:dyDescent="0.25">
      <c r="E232" s="19" t="str">
        <f>'Data Intelligence Dashboard'!D230</f>
        <v>Helen Roberts</v>
      </c>
      <c r="K232" s="19" t="str">
        <f t="shared" si="6"/>
        <v>Helen Roberts</v>
      </c>
      <c r="L232" s="19" t="str">
        <f t="shared" si="7"/>
        <v>HR</v>
      </c>
    </row>
    <row r="233" spans="5:12" x14ac:dyDescent="0.25">
      <c r="E233" s="19" t="str">
        <f>'Data Intelligence Dashboard'!D231</f>
        <v>Lawrence Reed</v>
      </c>
      <c r="K233" s="19" t="str">
        <f t="shared" si="6"/>
        <v>Lawrence Reed</v>
      </c>
      <c r="L233" s="19" t="str">
        <f t="shared" si="7"/>
        <v>LR</v>
      </c>
    </row>
    <row r="234" spans="5:12" x14ac:dyDescent="0.25">
      <c r="E234" s="19" t="str">
        <f>'Data Intelligence Dashboard'!D232</f>
        <v>Harry Morgan</v>
      </c>
      <c r="K234" s="19" t="str">
        <f t="shared" si="6"/>
        <v>Harry Morgan</v>
      </c>
      <c r="L234" s="19" t="str">
        <f t="shared" si="7"/>
        <v>HM</v>
      </c>
    </row>
    <row r="235" spans="5:12" x14ac:dyDescent="0.25">
      <c r="E235" s="19" t="str">
        <f>'Data Intelligence Dashboard'!D233</f>
        <v>Charles Allen</v>
      </c>
      <c r="K235" s="19" t="str">
        <f t="shared" si="6"/>
        <v>Charles Allen</v>
      </c>
      <c r="L235" s="19" t="str">
        <f t="shared" si="7"/>
        <v>CA</v>
      </c>
    </row>
    <row r="236" spans="5:12" x14ac:dyDescent="0.25">
      <c r="E236" s="19" t="str">
        <f>'Data Intelligence Dashboard'!D234</f>
        <v>Harry Morgan</v>
      </c>
      <c r="K236" s="19" t="str">
        <f t="shared" si="6"/>
        <v>Harry Morgan</v>
      </c>
      <c r="L236" s="19" t="str">
        <f t="shared" si="7"/>
        <v>HM</v>
      </c>
    </row>
    <row r="237" spans="5:12" x14ac:dyDescent="0.25">
      <c r="E237" s="19" t="str">
        <f>'Data Intelligence Dashboard'!D235</f>
        <v>Frank Torres</v>
      </c>
      <c r="K237" s="19" t="str">
        <f t="shared" si="6"/>
        <v>Frank Torres</v>
      </c>
      <c r="L237" s="19" t="str">
        <f t="shared" si="7"/>
        <v>FT</v>
      </c>
    </row>
    <row r="238" spans="5:12" x14ac:dyDescent="0.25">
      <c r="E238" s="19" t="str">
        <f>'Data Intelligence Dashboard'!D236</f>
        <v>Emma Wilson</v>
      </c>
      <c r="K238" s="19" t="str">
        <f t="shared" si="6"/>
        <v>Emma Wilson</v>
      </c>
      <c r="L238" s="19" t="str">
        <f t="shared" si="7"/>
        <v>EW</v>
      </c>
    </row>
    <row r="239" spans="5:12" x14ac:dyDescent="0.25">
      <c r="E239" s="19" t="str">
        <f>'Data Intelligence Dashboard'!D237</f>
        <v>Sharon Butler</v>
      </c>
      <c r="K239" s="19" t="str">
        <f t="shared" si="6"/>
        <v>Sharon Butler</v>
      </c>
      <c r="L239" s="19" t="str">
        <f t="shared" si="7"/>
        <v>SB</v>
      </c>
    </row>
    <row r="240" spans="5:12" x14ac:dyDescent="0.25">
      <c r="E240" s="19" t="str">
        <f>'Data Intelligence Dashboard'!D238</f>
        <v>Dorothy Nelson</v>
      </c>
      <c r="K240" s="19" t="str">
        <f t="shared" si="6"/>
        <v>Dorothy Nelson</v>
      </c>
      <c r="L240" s="19" t="str">
        <f t="shared" si="7"/>
        <v>DN</v>
      </c>
    </row>
    <row r="241" spans="5:12" x14ac:dyDescent="0.25">
      <c r="E241" s="19" t="str">
        <f>'Data Intelligence Dashboard'!D239</f>
        <v>Paul Baker</v>
      </c>
      <c r="K241" s="19" t="str">
        <f t="shared" si="6"/>
        <v>Paul Baker</v>
      </c>
      <c r="L241" s="19" t="str">
        <f t="shared" si="7"/>
        <v>PB</v>
      </c>
    </row>
    <row r="242" spans="5:12" x14ac:dyDescent="0.25">
      <c r="E242" s="19" t="str">
        <f>'Data Intelligence Dashboard'!D240</f>
        <v>John Smith</v>
      </c>
      <c r="K242" s="19" t="str">
        <f t="shared" si="6"/>
        <v>John Smith</v>
      </c>
      <c r="L242" s="19" t="str">
        <f t="shared" si="7"/>
        <v>JS</v>
      </c>
    </row>
    <row r="243" spans="5:12" x14ac:dyDescent="0.25">
      <c r="E243" s="19" t="str">
        <f>'Data Intelligence Dashboard'!D241</f>
        <v>Cynthia Price</v>
      </c>
      <c r="K243" s="19" t="str">
        <f t="shared" si="6"/>
        <v>Cynthia Price</v>
      </c>
      <c r="L243" s="19" t="str">
        <f t="shared" si="7"/>
        <v>CP</v>
      </c>
    </row>
    <row r="244" spans="5:12" x14ac:dyDescent="0.25">
      <c r="E244" s="19" t="str">
        <f>'Data Intelligence Dashboard'!D242</f>
        <v>Margaret Wright</v>
      </c>
      <c r="K244" s="19" t="str">
        <f t="shared" si="6"/>
        <v>Margaret Wright</v>
      </c>
      <c r="L244" s="19" t="str">
        <f t="shared" si="7"/>
        <v>MW</v>
      </c>
    </row>
    <row r="245" spans="5:12" x14ac:dyDescent="0.25">
      <c r="E245" s="19" t="str">
        <f>'Data Intelligence Dashboard'!D243</f>
        <v>Virginia Sanders</v>
      </c>
      <c r="K245" s="19" t="str">
        <f t="shared" si="6"/>
        <v>Virginia Sanders</v>
      </c>
      <c r="L245" s="19" t="str">
        <f t="shared" si="7"/>
        <v>VS</v>
      </c>
    </row>
    <row r="246" spans="5:12" x14ac:dyDescent="0.25">
      <c r="E246" s="19" t="str">
        <f>'Data Intelligence Dashboard'!D244</f>
        <v>Karen Hill</v>
      </c>
      <c r="K246" s="19" t="str">
        <f t="shared" si="6"/>
        <v>Karen Hill</v>
      </c>
      <c r="L246" s="19" t="str">
        <f t="shared" si="7"/>
        <v>KH</v>
      </c>
    </row>
    <row r="247" spans="5:12" x14ac:dyDescent="0.25">
      <c r="E247" s="19" t="str">
        <f>'Data Intelligence Dashboard'!D245</f>
        <v>Cynthia Price</v>
      </c>
      <c r="K247" s="19" t="str">
        <f t="shared" si="6"/>
        <v>Cynthia Price</v>
      </c>
      <c r="L247" s="19" t="str">
        <f t="shared" si="7"/>
        <v>CP</v>
      </c>
    </row>
    <row r="248" spans="5:12" x14ac:dyDescent="0.25">
      <c r="E248" s="19" t="str">
        <f>'Data Intelligence Dashboard'!D246</f>
        <v>Edward Mitchell</v>
      </c>
      <c r="K248" s="19" t="str">
        <f t="shared" si="6"/>
        <v>Edward Mitchell</v>
      </c>
      <c r="L248" s="19" t="str">
        <f t="shared" si="7"/>
        <v>EM</v>
      </c>
    </row>
    <row r="249" spans="5:12" x14ac:dyDescent="0.25">
      <c r="E249" s="19" t="str">
        <f>'Data Intelligence Dashboard'!D247</f>
        <v>Virginia Sanders</v>
      </c>
      <c r="K249" s="19" t="str">
        <f t="shared" si="6"/>
        <v>Virginia Sanders</v>
      </c>
      <c r="L249" s="19" t="str">
        <f t="shared" si="7"/>
        <v>VS</v>
      </c>
    </row>
    <row r="250" spans="5:12" x14ac:dyDescent="0.25">
      <c r="E250" s="19" t="str">
        <f>'Data Intelligence Dashboard'!D248</f>
        <v>Robert Thomas</v>
      </c>
      <c r="K250" s="19" t="str">
        <f t="shared" si="6"/>
        <v>Robert Thomas</v>
      </c>
      <c r="L250" s="19" t="str">
        <f t="shared" si="7"/>
        <v>RT</v>
      </c>
    </row>
    <row r="251" spans="5:12" x14ac:dyDescent="0.25">
      <c r="E251" s="19" t="str">
        <f>'Data Intelligence Dashboard'!D249</f>
        <v>Douglas Watson</v>
      </c>
      <c r="K251" s="19" t="str">
        <f t="shared" si="6"/>
        <v>Douglas Watson</v>
      </c>
      <c r="L251" s="19" t="str">
        <f t="shared" si="7"/>
        <v>DW</v>
      </c>
    </row>
    <row r="252" spans="5:12" x14ac:dyDescent="0.25">
      <c r="E252" s="19" t="str">
        <f>'Data Intelligence Dashboard'!D250</f>
        <v>Lawrence Reed</v>
      </c>
      <c r="K252" s="19" t="str">
        <f t="shared" si="6"/>
        <v>Lawrence Reed</v>
      </c>
      <c r="L252" s="19" t="str">
        <f t="shared" si="7"/>
        <v>LR</v>
      </c>
    </row>
    <row r="253" spans="5:12" x14ac:dyDescent="0.25">
      <c r="E253" s="19" t="str">
        <f>'Data Intelligence Dashboard'!D251</f>
        <v>Steven Turner</v>
      </c>
      <c r="K253" s="19" t="str">
        <f t="shared" si="6"/>
        <v>Steven Turner</v>
      </c>
      <c r="L253" s="19" t="str">
        <f t="shared" si="7"/>
        <v>ST</v>
      </c>
    </row>
    <row r="254" spans="5:12" x14ac:dyDescent="0.25">
      <c r="E254" s="19"/>
    </row>
  </sheetData>
  <mergeCells count="2">
    <mergeCell ref="E1:G2"/>
    <mergeCell ref="K1:L2"/>
  </mergeCells>
  <phoneticPr fontId="19"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PIVOT_TABLES</vt:lpstr>
      <vt:lpstr>STATE REGION MAP</vt:lpstr>
      <vt:lpstr>Data Intelligence Dashboard</vt:lpstr>
      <vt:lpstr>TOTAL SALES PER WEEK</vt:lpstr>
      <vt:lpstr>WEEKLY DATA</vt:lpstr>
      <vt:lpstr>FILTER ANALYSIS_N&amp;S</vt:lpstr>
      <vt:lpstr>FILTER ANALYSIS_E&amp;W</vt:lpstr>
      <vt:lpstr>Scenario Summary</vt:lpstr>
      <vt:lpstr>REGRESSION ANALYSIS</vt:lpstr>
      <vt:lpstr>HIGH VALUE CUSTOMERS</vt:lpstr>
      <vt:lpstr>FREQUENCY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kalpesh patil</dc:creator>
  <cp:lastModifiedBy>kalpesh patil</cp:lastModifiedBy>
  <dcterms:created xsi:type="dcterms:W3CDTF">2026-09-22T10:15:21Z</dcterms:created>
  <dcterms:modified xsi:type="dcterms:W3CDTF">2026-10-10T05:04:08Z</dcterms:modified>
</cp:coreProperties>
</file>